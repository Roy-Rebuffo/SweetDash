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ANCIA" sheetId="1" r:id="rId5"/>
    <sheet state="visible" name="Compras" sheetId="2" r:id="rId6"/>
    <sheet state="visible" name="COSTES TODOS" sheetId="3" r:id="rId7"/>
    <sheet state="visible" name="PASTAS DE TE" sheetId="4" r:id="rId8"/>
    <sheet state="visible" name="PASTA FROLLA" sheetId="5" r:id="rId9"/>
    <sheet state="visible" name="RAMO DE FLORES" sheetId="6" r:id="rId10"/>
    <sheet state="visible" name="GALLETAS BASE" sheetId="7" r:id="rId11"/>
    <sheet state="visible" name="SAN MARCOS" sheetId="8" r:id="rId12"/>
    <sheet state="visible" name="TARTA OREO" sheetId="9" r:id="rId13"/>
    <sheet state="visible" name="CHEESECAKE" sheetId="10" r:id="rId14"/>
    <sheet state="visible" name="TARTA FRESAS CON NATA" sheetId="11" r:id="rId15"/>
    <sheet state="visible" name="CRUMBLE COOKIES" sheetId="12" r:id="rId16"/>
    <sheet state="visible" name="Masas basicas" sheetId="13" r:id="rId17"/>
    <sheet state="visible" name="TEMATICA GANACHE REDONDA" sheetId="14" r:id="rId18"/>
    <sheet state="visible" name="Dos pisos temática" sheetId="15" r:id="rId19"/>
    <sheet state="visible" name="TARTA FULL CHOCOLATE" sheetId="16" r:id="rId20"/>
    <sheet state="visible" name="TARTA KINDER" sheetId="17" r:id="rId21"/>
    <sheet state="visible" name="TEMATICA FONDANT REDONDA" sheetId="18" r:id="rId22"/>
    <sheet state="visible" name="CARROT CAKE" sheetId="19" r:id="rId23"/>
    <sheet state="visible" name="CHAJA" sheetId="20" r:id="rId24"/>
    <sheet state="visible" name="CUPCAKES RED VELVET" sheetId="21" r:id="rId25"/>
    <sheet state="visible" name="CUPCAKES CHOCOLATE" sheetId="22" r:id="rId26"/>
    <sheet state="visible" name="LEMON PIE" sheetId="23" r:id="rId27"/>
    <sheet state="visible" name="KEYLIME PIE" sheetId="24" r:id="rId28"/>
    <sheet state="visible" name="BROWNIE" sheetId="25" r:id="rId29"/>
    <sheet state="visible" name="ALFAJORES" sheetId="26" r:id="rId30"/>
  </sheets>
  <definedNames/>
  <calcPr/>
</workbook>
</file>

<file path=xl/sharedStrings.xml><?xml version="1.0" encoding="utf-8"?>
<sst xmlns="http://schemas.openxmlformats.org/spreadsheetml/2006/main" count="1827" uniqueCount="541">
  <si>
    <t>FECHA</t>
  </si>
  <si>
    <t>CLIENTE</t>
  </si>
  <si>
    <t>NUMERO CLIENTE</t>
  </si>
  <si>
    <t>PRODUCTO</t>
  </si>
  <si>
    <t>TAMAÑO</t>
  </si>
  <si>
    <t>ESTILO</t>
  </si>
  <si>
    <t>IMAGEN</t>
  </si>
  <si>
    <t>TEMÁTICA</t>
  </si>
  <si>
    <t>PRECIO</t>
  </si>
  <si>
    <t>COSTE</t>
  </si>
  <si>
    <t>GANANCIA</t>
  </si>
  <si>
    <t>SANDRA-SINCLAIR</t>
  </si>
  <si>
    <t>TARTA FRUTA</t>
  </si>
  <si>
    <t>ARTESANAL</t>
  </si>
  <si>
    <t>FRUTA</t>
  </si>
  <si>
    <t>SUSI</t>
  </si>
  <si>
    <t xml:space="preserve">TARTA </t>
  </si>
  <si>
    <t>TEMATICA</t>
  </si>
  <si>
    <t>WEED-BEER</t>
  </si>
  <si>
    <t>SANDRA DELGADO</t>
  </si>
  <si>
    <t>TARTA</t>
  </si>
  <si>
    <t>SI</t>
  </si>
  <si>
    <t>BATMAN</t>
  </si>
  <si>
    <t>CRISTINA- SUSI</t>
  </si>
  <si>
    <t>KITTY</t>
  </si>
  <si>
    <t>ISA</t>
  </si>
  <si>
    <t>GALLETA</t>
  </si>
  <si>
    <t>CASITA</t>
  </si>
  <si>
    <t>MAMA</t>
  </si>
  <si>
    <t>VERONICA</t>
  </si>
  <si>
    <t>DAYSI</t>
  </si>
  <si>
    <t>29-2</t>
  </si>
  <si>
    <t>SARA - ISA</t>
  </si>
  <si>
    <t>NUMERO</t>
  </si>
  <si>
    <t>NUMERO 25</t>
  </si>
  <si>
    <t>ERIKA</t>
  </si>
  <si>
    <t>POKER</t>
  </si>
  <si>
    <t>ESTEFANIA</t>
  </si>
  <si>
    <t>BARBIE</t>
  </si>
  <si>
    <t>BLACK PINK</t>
  </si>
  <si>
    <t>SANDRA - SINCLAIR</t>
  </si>
  <si>
    <t>MASHA</t>
  </si>
  <si>
    <t>CAZA</t>
  </si>
  <si>
    <t>BEBE JEFAZO</t>
  </si>
  <si>
    <t>20-15</t>
  </si>
  <si>
    <t>PRINCESAS</t>
  </si>
  <si>
    <t>BABY SHARK</t>
  </si>
  <si>
    <t>MINIONS</t>
  </si>
  <si>
    <t>SPIDERMAN</t>
  </si>
  <si>
    <t>TALKING TOM</t>
  </si>
  <si>
    <t>PASTAS DE TE</t>
  </si>
  <si>
    <t>450 GR</t>
  </si>
  <si>
    <t>MASA FINA</t>
  </si>
  <si>
    <t>CHEESECAKE DDL</t>
  </si>
  <si>
    <t>BEA - AINARA</t>
  </si>
  <si>
    <t>UNICORNIOS</t>
  </si>
  <si>
    <t>JENNY</t>
  </si>
  <si>
    <t>BEBE 1 MES</t>
  </si>
  <si>
    <t>COOKIES</t>
  </si>
  <si>
    <t>GALLETAS RELLENAS</t>
  </si>
  <si>
    <t>NIEVES</t>
  </si>
  <si>
    <t>MARTA GLS</t>
  </si>
  <si>
    <t>LILO Y STICH</t>
  </si>
  <si>
    <t>SONIA ALCALDESA</t>
  </si>
  <si>
    <t>MACETA</t>
  </si>
  <si>
    <t>MARISA</t>
  </si>
  <si>
    <t>BARTOLITO</t>
  </si>
  <si>
    <t>BARBARA</t>
  </si>
  <si>
    <t>FUTBOL</t>
  </si>
  <si>
    <t>CHELO</t>
  </si>
  <si>
    <t xml:space="preserve">GALLETAS  </t>
  </si>
  <si>
    <t>COLACAO</t>
  </si>
  <si>
    <t>BOTELLIN</t>
  </si>
  <si>
    <t>GALLETAS</t>
  </si>
  <si>
    <t>MARI DM</t>
  </si>
  <si>
    <t>CHEESECAKE SOLO</t>
  </si>
  <si>
    <t>CHEESECAKE F.ROJOS</t>
  </si>
  <si>
    <t>T.COCO Y DDL</t>
  </si>
  <si>
    <t>BEA - IZAN</t>
  </si>
  <si>
    <t>CACAS</t>
  </si>
  <si>
    <t>SINCLAIR</t>
  </si>
  <si>
    <t>PASTA FROLLA</t>
  </si>
  <si>
    <t>CORAL BARRIOS</t>
  </si>
  <si>
    <t>RAMO FLORES</t>
  </si>
  <si>
    <t>CARROT CAKE</t>
  </si>
  <si>
    <t>LARA - ISA</t>
  </si>
  <si>
    <t>FACTURAS</t>
  </si>
  <si>
    <t>1 DOCENA</t>
  </si>
  <si>
    <t>RAQUEL COLE</t>
  </si>
  <si>
    <t>TARTA 2 PISOS</t>
  </si>
  <si>
    <t>PADEL</t>
  </si>
  <si>
    <t>SASKYA</t>
  </si>
  <si>
    <t>TARTA FORMA</t>
  </si>
  <si>
    <t>PATITO</t>
  </si>
  <si>
    <t>JORGE GLS</t>
  </si>
  <si>
    <t>SANDRA SUPECO</t>
  </si>
  <si>
    <t>DINOSAURIOS</t>
  </si>
  <si>
    <t>CHOCOLATINAS</t>
  </si>
  <si>
    <t>ALBA</t>
  </si>
  <si>
    <t>FELIZ</t>
  </si>
  <si>
    <t>MARIA ERUSTES</t>
  </si>
  <si>
    <t>1 KILO</t>
  </si>
  <si>
    <t>MINNIE</t>
  </si>
  <si>
    <t>susi</t>
  </si>
  <si>
    <t>FELIX</t>
  </si>
  <si>
    <t>SOLEDAD</t>
  </si>
  <si>
    <t>FONDANT</t>
  </si>
  <si>
    <t>GRADUACION</t>
  </si>
  <si>
    <t>ANA ESQUINA</t>
  </si>
  <si>
    <t>GANACHE</t>
  </si>
  <si>
    <t>FROZEN</t>
  </si>
  <si>
    <t>GLASE</t>
  </si>
  <si>
    <t>COSTE POR TAMAÑO</t>
  </si>
  <si>
    <t>PRECIO DE VENTA</t>
  </si>
  <si>
    <t xml:space="preserve">GANANCIA </t>
  </si>
  <si>
    <t>16 CM</t>
  </si>
  <si>
    <t xml:space="preserve">18 CM </t>
  </si>
  <si>
    <t>20 CM</t>
  </si>
  <si>
    <t>22 CM</t>
  </si>
  <si>
    <t>OTRO</t>
  </si>
  <si>
    <t>18 CM</t>
  </si>
  <si>
    <t>24 cm</t>
  </si>
  <si>
    <t xml:space="preserve">OTRO </t>
  </si>
  <si>
    <t xml:space="preserve">TARTA TEMATICA PERSONALIZADA GANACHE Y FONDANT </t>
  </si>
  <si>
    <t>TARTA TEMATICA PERSONALIZADA FONDANT</t>
  </si>
  <si>
    <t>BASICA NATA Y CHOCOLATE</t>
  </si>
  <si>
    <t>TARTA CHOCOLATE SUAVE</t>
  </si>
  <si>
    <t>TARTA ART. BV/ DDL Y FRUTA</t>
  </si>
  <si>
    <t xml:space="preserve">TARTA MOUSSE FRUTOS ROJOS </t>
  </si>
  <si>
    <t>TARTA MOUSSE FRUTOS ROJOS CHOCOLATE</t>
  </si>
  <si>
    <t>TARTA DE LIMON</t>
  </si>
  <si>
    <t>TARTA ARTESANAL OREO SUAVE</t>
  </si>
  <si>
    <t>TARTA LOTUS</t>
  </si>
  <si>
    <t>TARTA DE ZANAHORIA</t>
  </si>
  <si>
    <t>TARTA KINDER</t>
  </si>
  <si>
    <t>TARTA OREO</t>
  </si>
  <si>
    <t>TARTA SAN MARCOS</t>
  </si>
  <si>
    <t>TARTA RED VELVET</t>
  </si>
  <si>
    <t>TARTA CHAJA</t>
  </si>
  <si>
    <t>TARTA FRESAS CON NATA</t>
  </si>
  <si>
    <t>TARTA FULL CHOCOLATE</t>
  </si>
  <si>
    <t>PASTA DE TE MASA FINA - CAJA CHICA- 400 GR - 60 PIEZAS</t>
  </si>
  <si>
    <t>PASTAS DE TE MASA FINA - CAJA GRANDE - 900 GR - 100 PIEZAS</t>
  </si>
  <si>
    <t xml:space="preserve">PASTAS DE TE ELABORADAS CAJA CHICA 500 GR - 30 </t>
  </si>
  <si>
    <t>PASTAS DE TE ELABORADAS CAJA GRANDE 1 KILO - 60PIEZAS</t>
  </si>
  <si>
    <t>CAJA MIX PASTAS DE TE 1 KILO - 90 PIEZAS</t>
  </si>
  <si>
    <t>CAJA MIX PASTAS DE TE 2 KILOS</t>
  </si>
  <si>
    <t>GALLETAS PERSONALIZADAS PACK COLE 35 TODAS IGUALES -GLASE</t>
  </si>
  <si>
    <t>GALLETAS PERSONALIZADAS PACK CUMPLEAÑOS -4 DISEÑOS -35 -GLASE</t>
  </si>
  <si>
    <t>GALLETAS PERSONALIZADAS PACK TEMATICOS - SET 1 KG 25-30 -GLASE</t>
  </si>
  <si>
    <t>GALLETAS PERSONALZIADAS PACK PUZZLE - 30 GALLETAS - IGUALES - GLASE</t>
  </si>
  <si>
    <t>GALLETAS RAMO DE FLORES - GLASE - 8 FLORES GRANDES</t>
  </si>
  <si>
    <t>GALLETAS RAMO DE FLORES +  MINI CAJITA 10 GALLETAS - GLASE</t>
  </si>
  <si>
    <t>GALLETAS EN CASITA + 6 MINI GALLETAS - GLASE</t>
  </si>
  <si>
    <t>GALLETAS PERSONALIZADAS FONDANT - 35 IGUAL FORMA</t>
  </si>
  <si>
    <t>GALLETAS PERSONALIZADAS FONDANT - SET 25 GRANDES</t>
  </si>
  <si>
    <t>GALLETAS CORAZON CRISTAL - PACK COLE 35 UN</t>
  </si>
  <si>
    <t>GALLETAS PACK DOBLE COLE - 30 PAQUETES - MERMELADAS Y CRISTAL</t>
  </si>
  <si>
    <t>CRUMBLE COOKIES - GRANDES 100GR - 15 UNIDADES</t>
  </si>
  <si>
    <t>CRUMBLE COOKIES - GRANDES 100GR - 6 UNIDADES</t>
  </si>
  <si>
    <t>COOKIES PACK COLE MINI 50GR, 35 UNIDADES</t>
  </si>
  <si>
    <t>COOKIES CAJA 15 UNIDADES 50 GR</t>
  </si>
  <si>
    <t>GALLETAS OJITOS CON MEREMELADAS -LOTUS O DDL 1/2 KG</t>
  </si>
  <si>
    <t>GALLETAS OJITOS CON MEREMELADAS -LOTUS O DDL 1 KG</t>
  </si>
  <si>
    <t>TARTA ALFAJOR DE MAICENA</t>
  </si>
  <si>
    <t>CHEESECAKE FRUTOS ROJOS</t>
  </si>
  <si>
    <t>CHEESECAKE DULCE DE LECHE</t>
  </si>
  <si>
    <t>CHEESECAKE LOTUS</t>
  </si>
  <si>
    <t>CHEESE CAKE LIMON</t>
  </si>
  <si>
    <t>CHEESECAKE MANGO</t>
  </si>
  <si>
    <t>LEMON PIE 20 CM 8-10 PORCIONES</t>
  </si>
  <si>
    <t>LEMON PIE 22 CM 15 PORCIONES</t>
  </si>
  <si>
    <t>PASTA FROLLA 20 CM 12 PORCIONES</t>
  </si>
  <si>
    <t>PASTA FROLLA 22 CM 15 PORCIONES</t>
  </si>
  <si>
    <t>TARTA COCO Y DULCE DE LECHE</t>
  </si>
  <si>
    <t>KEYLIME PIE 18 CM 15 PORCIONES</t>
  </si>
  <si>
    <t>KEYLIME PIE 20 CM 20 PORCIONES</t>
  </si>
  <si>
    <t xml:space="preserve">TARTA DE MANZANA </t>
  </si>
  <si>
    <t>BROWNIE</t>
  </si>
  <si>
    <t>CUPCAKES 12 RED VELVET FROSTING QUESO CREMA</t>
  </si>
  <si>
    <t>CUPCAKES 12 RED VELVET FROSTING GANACHE</t>
  </si>
  <si>
    <t xml:space="preserve">CUPCAKES 24 RED VELVET FROSTING QUESO </t>
  </si>
  <si>
    <t>CUPCAKES 24 RED VELVET FROSTING GANACHE</t>
  </si>
  <si>
    <t>CUPCAKES 12 ZANAHORIA FROSTING QUESO CREMA</t>
  </si>
  <si>
    <t>CUPCAKES 12 ZANAHORIA FROSTING GANACHE</t>
  </si>
  <si>
    <t>CUPACKES 24 ZANAHORIA FROSTING QUESO CREMA</t>
  </si>
  <si>
    <t>CUPCAKES 24 ZANAHORIA FROSTING GANACHE</t>
  </si>
  <si>
    <t>CUPCAKES 12 VAINILLA Y FROSTING QUESO CREMA</t>
  </si>
  <si>
    <t>CUPCAKES 12 VAINILLA Y FROSTING GANACHE</t>
  </si>
  <si>
    <t>CUPCAKES 24 VAINILLA FRISTING CREMA DE QUESO</t>
  </si>
  <si>
    <t>CUPCAKES 24 VAINILLA FROSTING GANACHE</t>
  </si>
  <si>
    <t>Sablee de manga - Pastas de te</t>
  </si>
  <si>
    <t>SABLEE DE MANGA</t>
  </si>
  <si>
    <t>INGREDIENTES</t>
  </si>
  <si>
    <t>CANTIDAD</t>
  </si>
  <si>
    <t>UNIDADES</t>
  </si>
  <si>
    <t>COSTO 900 GR</t>
  </si>
  <si>
    <t>COSTO</t>
  </si>
  <si>
    <t>CAJA</t>
  </si>
  <si>
    <t>Mantequilla</t>
  </si>
  <si>
    <t>Papel horno</t>
  </si>
  <si>
    <t>Azucar glass</t>
  </si>
  <si>
    <t>Gastos herram</t>
  </si>
  <si>
    <t>Huevos</t>
  </si>
  <si>
    <t>Horno</t>
  </si>
  <si>
    <t>Harina</t>
  </si>
  <si>
    <t>Agua</t>
  </si>
  <si>
    <t>Vainilla</t>
  </si>
  <si>
    <t>Batidora</t>
  </si>
  <si>
    <t>Citricos</t>
  </si>
  <si>
    <t>MANGAS</t>
  </si>
  <si>
    <t>Chocolate blanco</t>
  </si>
  <si>
    <t>Chocolate NEGRO</t>
  </si>
  <si>
    <t>MASAS FINAS</t>
  </si>
  <si>
    <t>Pistachos</t>
  </si>
  <si>
    <t>COSTES  450KG</t>
  </si>
  <si>
    <t>PVP 450</t>
  </si>
  <si>
    <t>profit</t>
  </si>
  <si>
    <t>Nueces</t>
  </si>
  <si>
    <t>Almendras</t>
  </si>
  <si>
    <t>mix frutos secos</t>
  </si>
  <si>
    <t>caja</t>
  </si>
  <si>
    <t>COSTES 900 KG</t>
  </si>
  <si>
    <t>PVP 900</t>
  </si>
  <si>
    <t>cacao</t>
  </si>
  <si>
    <t xml:space="preserve">De esta masa sale 400gr de masitas </t>
  </si>
  <si>
    <t>MITAD DE CHOCOLATE Y MITAD DE VAINILLA O CITRICO</t>
  </si>
  <si>
    <t>En una caja de 400gr  entran 60-70 unidades</t>
  </si>
  <si>
    <t>DECOS EN CHOCOLATE ,FRUTOS SECOS, FRUTA ABRILLANTADA</t>
  </si>
  <si>
    <t>SABLEE DURA - PASTAS RELLENAS</t>
  </si>
  <si>
    <t>PASTAS DE TE RELLENAS</t>
  </si>
  <si>
    <t>COSTES 500 KG</t>
  </si>
  <si>
    <t>hs pagadas</t>
  </si>
  <si>
    <t>COSTES 1 KG</t>
  </si>
  <si>
    <t>RELLENOS</t>
  </si>
  <si>
    <t>Dulce de leche</t>
  </si>
  <si>
    <t>Chocolate negro</t>
  </si>
  <si>
    <t>Mermelada</t>
  </si>
  <si>
    <t>PVP</t>
  </si>
  <si>
    <t>PROFIT</t>
  </si>
  <si>
    <t>COMBINADA, 500 DE MANGA Y 500 DE PASTAS</t>
  </si>
  <si>
    <t>COMBINADA 2 KILOS</t>
  </si>
  <si>
    <t>sablee nueva dura</t>
  </si>
  <si>
    <t>Pepas</t>
  </si>
  <si>
    <t>Maicena</t>
  </si>
  <si>
    <t>Membrillo</t>
  </si>
  <si>
    <t>MASA FROLLA</t>
  </si>
  <si>
    <t>UNIDADES PAQ</t>
  </si>
  <si>
    <t xml:space="preserve">PRECIO </t>
  </si>
  <si>
    <t>COSTO 8-10 p</t>
  </si>
  <si>
    <t>COSTO 12-15</t>
  </si>
  <si>
    <t>MANTECA</t>
  </si>
  <si>
    <t>AZUCAR BLANCA</t>
  </si>
  <si>
    <t>HUEVOS</t>
  </si>
  <si>
    <t>LIMON RALLADURA</t>
  </si>
  <si>
    <t>VAINILLA</t>
  </si>
  <si>
    <t xml:space="preserve">HARINA </t>
  </si>
  <si>
    <t>MAICENA</t>
  </si>
  <si>
    <t>SAL</t>
  </si>
  <si>
    <t>RELLENO</t>
  </si>
  <si>
    <t>MEMBRILLO</t>
  </si>
  <si>
    <t>GASTOS INDIRECTOS</t>
  </si>
  <si>
    <t>COSTO 20CM</t>
  </si>
  <si>
    <t>COSTO 22CM</t>
  </si>
  <si>
    <t>BATIDORA</t>
  </si>
  <si>
    <t>PAPEL HORNO</t>
  </si>
  <si>
    <t>NEVERA</t>
  </si>
  <si>
    <t>HORNO</t>
  </si>
  <si>
    <t>PLATO 25 CM</t>
  </si>
  <si>
    <t>CAJA 25</t>
  </si>
  <si>
    <t>COSTE TOTAL</t>
  </si>
  <si>
    <t>PRECIO VENTA</t>
  </si>
  <si>
    <t>MASA BASE DE GALLETAS</t>
  </si>
  <si>
    <t>DE ESTA MASA SALEN 7 FLORES Y 1 HOJA</t>
  </si>
  <si>
    <t>Cacao</t>
  </si>
  <si>
    <t>GLASE REAL</t>
  </si>
  <si>
    <t>PALITOS</t>
  </si>
  <si>
    <t>PAPEL ENVOLTORIO</t>
  </si>
  <si>
    <t>BOLSITAS</t>
  </si>
  <si>
    <t>CUERDA</t>
  </si>
  <si>
    <t>ETIQUETA</t>
  </si>
  <si>
    <t>Glase</t>
  </si>
  <si>
    <t>Colorantes</t>
  </si>
  <si>
    <t>POLVOS</t>
  </si>
  <si>
    <t xml:space="preserve">CAJA </t>
  </si>
  <si>
    <t>COSTES  1KG</t>
  </si>
  <si>
    <t xml:space="preserve">PVP 20-25 </t>
  </si>
  <si>
    <t>COSTES 2 KG</t>
  </si>
  <si>
    <t>PVP 40-50</t>
  </si>
  <si>
    <t xml:space="preserve">Mangas </t>
  </si>
  <si>
    <t>de esta masa base sale un kilo de galletas</t>
  </si>
  <si>
    <t xml:space="preserve">dependiendo del tamaño del cortador </t>
  </si>
  <si>
    <t>en circular pequeño 50</t>
  </si>
  <si>
    <t>halloween 30</t>
  </si>
  <si>
    <t>Fondant</t>
  </si>
  <si>
    <t>Caja 26x26x10 dcora</t>
  </si>
  <si>
    <t>Blonda</t>
  </si>
  <si>
    <t>CANT 8-10 p</t>
  </si>
  <si>
    <t>CANT 12-15</t>
  </si>
  <si>
    <t>CANT 18-20 p</t>
  </si>
  <si>
    <t>CANT 25-28</t>
  </si>
  <si>
    <t>COSTO 18-20 p</t>
  </si>
  <si>
    <t>COSTO 25-28</t>
  </si>
  <si>
    <t>BIZCOCHO</t>
  </si>
  <si>
    <t>Azucar</t>
  </si>
  <si>
    <t>ALMIBAR</t>
  </si>
  <si>
    <t>CHOCOLATE</t>
  </si>
  <si>
    <t>TRUFA Y</t>
  </si>
  <si>
    <t>Nata</t>
  </si>
  <si>
    <t>NATA</t>
  </si>
  <si>
    <t>nata</t>
  </si>
  <si>
    <t xml:space="preserve">COBERTURA </t>
  </si>
  <si>
    <t xml:space="preserve">AZUCAR  </t>
  </si>
  <si>
    <t>YEMA</t>
  </si>
  <si>
    <t>AGUA</t>
  </si>
  <si>
    <t>Y NATA</t>
  </si>
  <si>
    <t>YEMAS</t>
  </si>
  <si>
    <t>papel horno</t>
  </si>
  <si>
    <t>Papel plata</t>
  </si>
  <si>
    <t>COSTES</t>
  </si>
  <si>
    <t>INDIRECTOS</t>
  </si>
  <si>
    <t>CLARAS</t>
  </si>
  <si>
    <t>Topper</t>
  </si>
  <si>
    <t>Vela</t>
  </si>
  <si>
    <t>Plato 25 cm</t>
  </si>
  <si>
    <t>EXTRAS</t>
  </si>
  <si>
    <t>Caja 25,5</t>
  </si>
  <si>
    <t>Etiqueta</t>
  </si>
  <si>
    <t>Banda</t>
  </si>
  <si>
    <t>Sprinkles</t>
  </si>
  <si>
    <t>Decoraciones</t>
  </si>
  <si>
    <t>COSTE PROD</t>
  </si>
  <si>
    <t>8-10P</t>
  </si>
  <si>
    <t>12-15 P</t>
  </si>
  <si>
    <t>20 P</t>
  </si>
  <si>
    <t>25P</t>
  </si>
  <si>
    <t>18,5 CM</t>
  </si>
  <si>
    <t>24 CM</t>
  </si>
  <si>
    <t>COSTO 16</t>
  </si>
  <si>
    <t>COSTO 18</t>
  </si>
  <si>
    <t>COSTO 20</t>
  </si>
  <si>
    <t>COSTO 24</t>
  </si>
  <si>
    <t>BiZCOCHO</t>
  </si>
  <si>
    <t>GALLETA OREO</t>
  </si>
  <si>
    <t xml:space="preserve">RELLENO </t>
  </si>
  <si>
    <t>Queso phila</t>
  </si>
  <si>
    <t>OREO</t>
  </si>
  <si>
    <t>OREO GALLETA</t>
  </si>
  <si>
    <t>Azucar blanca</t>
  </si>
  <si>
    <t>CREMA DE</t>
  </si>
  <si>
    <t>OREO DECORAR</t>
  </si>
  <si>
    <t>plato 28 cm</t>
  </si>
  <si>
    <t>caja 28 cm</t>
  </si>
  <si>
    <t>8-10 PORCIONES</t>
  </si>
  <si>
    <t>12-15 PORCIONES</t>
  </si>
  <si>
    <t>20 PORCIONES</t>
  </si>
  <si>
    <t>GANACIA</t>
  </si>
  <si>
    <t>FRUTOS ROJOS</t>
  </si>
  <si>
    <t>20CM</t>
  </si>
  <si>
    <t>UN PAQUETE</t>
  </si>
  <si>
    <t>COSTE 16 CM</t>
  </si>
  <si>
    <t>COSTE 18 CM</t>
  </si>
  <si>
    <t>COSTE 20 CM</t>
  </si>
  <si>
    <t>COSTE 24 CM</t>
  </si>
  <si>
    <t>GALLETA RELIEVE</t>
  </si>
  <si>
    <t>MANTEQUILLA</t>
  </si>
  <si>
    <t>QUESO MASCARPONE</t>
  </si>
  <si>
    <t>QUESO PHILA</t>
  </si>
  <si>
    <t>LIMON</t>
  </si>
  <si>
    <t>PAPEL PLATA</t>
  </si>
  <si>
    <t>TOPPER</t>
  </si>
  <si>
    <t>VELA</t>
  </si>
  <si>
    <t>PLATO 20 CM</t>
  </si>
  <si>
    <t>PLATO 25-24 CM</t>
  </si>
  <si>
    <t>CAJA 20 CM</t>
  </si>
  <si>
    <t>CAJA 25X25</t>
  </si>
  <si>
    <t>DULCE DE LECHE O LOTUS</t>
  </si>
  <si>
    <t>DULCE DE LECHE</t>
  </si>
  <si>
    <t>DDL DECORACION</t>
  </si>
  <si>
    <t xml:space="preserve">QUESO </t>
  </si>
  <si>
    <t xml:space="preserve">D.D.L Y </t>
  </si>
  <si>
    <t>NATA + melocoton</t>
  </si>
  <si>
    <t>FRESAS</t>
  </si>
  <si>
    <t>QUESO</t>
  </si>
  <si>
    <t>COSTE 16</t>
  </si>
  <si>
    <t>COSTE 18</t>
  </si>
  <si>
    <t>COSTE 20</t>
  </si>
  <si>
    <t>COSTE 24</t>
  </si>
  <si>
    <t>MASA GALLETAS</t>
  </si>
  <si>
    <t>1 MASA</t>
  </si>
  <si>
    <t>MEDIA MASA</t>
  </si>
  <si>
    <t>COSTO 1 MASA</t>
  </si>
  <si>
    <t>COSTO MEDIA MASA</t>
  </si>
  <si>
    <t>CANT MASA</t>
  </si>
  <si>
    <t>1 MASA ENTERA</t>
  </si>
  <si>
    <t xml:space="preserve">30-35 </t>
  </si>
  <si>
    <t>5O GR</t>
  </si>
  <si>
    <t>AZUCAR MORENA</t>
  </si>
  <si>
    <t>100-120 GR</t>
  </si>
  <si>
    <t>CRUMBLE</t>
  </si>
  <si>
    <t>CHOCOLATE BARRA</t>
  </si>
  <si>
    <t>25GR</t>
  </si>
  <si>
    <t>MINI COOKIES</t>
  </si>
  <si>
    <t>CHOCO NOVA SUC</t>
  </si>
  <si>
    <t>HARINA 000</t>
  </si>
  <si>
    <t>CANT GOOKIES</t>
  </si>
  <si>
    <t>HARINA 0000</t>
  </si>
  <si>
    <t>COOKIES 50 GR</t>
  </si>
  <si>
    <t>PACK COLE</t>
  </si>
  <si>
    <t>BICARBONATO</t>
  </si>
  <si>
    <t>HUEVO</t>
  </si>
  <si>
    <t>PACKAGING</t>
  </si>
  <si>
    <t>COSTO 1/2 MASA</t>
  </si>
  <si>
    <t>CAJA MINI 20X20</t>
  </si>
  <si>
    <t>CAJA GRANDE 30X30</t>
  </si>
  <si>
    <t>PAPEL PARAF</t>
  </si>
  <si>
    <t>BOLSAS 100 GR</t>
  </si>
  <si>
    <t>BOLSAS 50 GR</t>
  </si>
  <si>
    <t xml:space="preserve">Redondo </t>
  </si>
  <si>
    <t xml:space="preserve">16 cm - </t>
  </si>
  <si>
    <t>20 cm</t>
  </si>
  <si>
    <t xml:space="preserve">24 cm </t>
  </si>
  <si>
    <t>CANT 10-12 p</t>
  </si>
  <si>
    <t>CANT 22-26</t>
  </si>
  <si>
    <t>COSTO 10-12 p</t>
  </si>
  <si>
    <t>COSTO 22-26</t>
  </si>
  <si>
    <t>CANT 22-27</t>
  </si>
  <si>
    <t>COSTO 22-27</t>
  </si>
  <si>
    <t>NATA Y MOUSSE</t>
  </si>
  <si>
    <t>CREMA</t>
  </si>
  <si>
    <t>Galleta oreo</t>
  </si>
  <si>
    <t>OREO-LOTUS</t>
  </si>
  <si>
    <t>LEMON</t>
  </si>
  <si>
    <t>CURD</t>
  </si>
  <si>
    <t>Limon zumo</t>
  </si>
  <si>
    <t>Limon cascara</t>
  </si>
  <si>
    <t>Manteca</t>
  </si>
  <si>
    <t>MOUSSE</t>
  </si>
  <si>
    <t>MERMELADA</t>
  </si>
  <si>
    <t>Fruta</t>
  </si>
  <si>
    <t>Melocoton</t>
  </si>
  <si>
    <t xml:space="preserve">16 CM </t>
  </si>
  <si>
    <t>DDL Y FRUTA</t>
  </si>
  <si>
    <t xml:space="preserve">16 cm </t>
  </si>
  <si>
    <t>18 cm</t>
  </si>
  <si>
    <t xml:space="preserve">20 cm </t>
  </si>
  <si>
    <t>22-24 cm</t>
  </si>
  <si>
    <t>CANT 10-15 p</t>
  </si>
  <si>
    <t>CANT 18-20</t>
  </si>
  <si>
    <t>CANT 20-25</t>
  </si>
  <si>
    <t>kinder</t>
  </si>
  <si>
    <t>KINDER</t>
  </si>
  <si>
    <t>VENTA</t>
  </si>
  <si>
    <t>BIZC. CHOCO. RELLENO DE GANACHE Y MOUSSE COB GANACHE</t>
  </si>
  <si>
    <t xml:space="preserve">GANACHE </t>
  </si>
  <si>
    <t>MOUSSE CHOCOLAT</t>
  </si>
  <si>
    <t>CACAO</t>
  </si>
  <si>
    <t>16CM</t>
  </si>
  <si>
    <t>18CM</t>
  </si>
  <si>
    <t>24CM</t>
  </si>
  <si>
    <t>18-20 PORCIONES</t>
  </si>
  <si>
    <t>25 PORCIONES</t>
  </si>
  <si>
    <t>COSTO 8-10P</t>
  </si>
  <si>
    <t>COSTO 12-15P</t>
  </si>
  <si>
    <t>COSTO 18-20P</t>
  </si>
  <si>
    <t>COSTO 25P</t>
  </si>
  <si>
    <t>HARINA</t>
  </si>
  <si>
    <t>ALMENDRA MOLIDA</t>
  </si>
  <si>
    <t>ROYAL</t>
  </si>
  <si>
    <t>ACEITE GIR</t>
  </si>
  <si>
    <t>LECHE</t>
  </si>
  <si>
    <t>ZANAHORIA</t>
  </si>
  <si>
    <t>CANELA</t>
  </si>
  <si>
    <t>NUEZ MOSCADA</t>
  </si>
  <si>
    <t>NARANJA</t>
  </si>
  <si>
    <t>VINAGRE</t>
  </si>
  <si>
    <t>RED VELVET MAT PRIMA MASA</t>
  </si>
  <si>
    <t>CANT X 24</t>
  </si>
  <si>
    <t>CANT X 12</t>
  </si>
  <si>
    <t>CANT PAQUETE</t>
  </si>
  <si>
    <t>COSTE 12</t>
  </si>
  <si>
    <t>HARINA REPOSTERA</t>
  </si>
  <si>
    <t>RED VELVET</t>
  </si>
  <si>
    <t>ACEITE GIRASOL</t>
  </si>
  <si>
    <t>COLORANTE ROJO</t>
  </si>
  <si>
    <t xml:space="preserve">FROSTING DE QUESO CREMA </t>
  </si>
  <si>
    <t>QUESO CREMA</t>
  </si>
  <si>
    <t>AZUCAR</t>
  </si>
  <si>
    <t>FROSTING GANACHE BLANCO</t>
  </si>
  <si>
    <t>CHOCOLATE BLANCO</t>
  </si>
  <si>
    <t>COLORANTES</t>
  </si>
  <si>
    <t>DECORACIONES</t>
  </si>
  <si>
    <t>PIROTINES</t>
  </si>
  <si>
    <t>CAJA 12</t>
  </si>
  <si>
    <t>ETIQUETAS</t>
  </si>
  <si>
    <t>VARIOS PACK</t>
  </si>
  <si>
    <t>COSTE 24 CREMA DE QUESO</t>
  </si>
  <si>
    <t>COSTE 12 CREMA DE QUESO</t>
  </si>
  <si>
    <t>COSTE 12 GANACHE</t>
  </si>
  <si>
    <t>COSTE 24 GANACHE</t>
  </si>
  <si>
    <t>CHOCOLATE MASA</t>
  </si>
  <si>
    <t>LECHE ENTERA</t>
  </si>
  <si>
    <t>MASA</t>
  </si>
  <si>
    <t>LEMON PIE</t>
  </si>
  <si>
    <t>MASA SABLEE</t>
  </si>
  <si>
    <t xml:space="preserve">CANTIDAD 22 </t>
  </si>
  <si>
    <t>CANTIDAD 20</t>
  </si>
  <si>
    <t>COSTO 22</t>
  </si>
  <si>
    <t xml:space="preserve">DE ESTA RECETA SALE UNA TARTA DE 22 CM </t>
  </si>
  <si>
    <t>PARA 20 CM HACER MEDIA DE LEMON CURD</t>
  </si>
  <si>
    <t xml:space="preserve">COSTE 22 CM </t>
  </si>
  <si>
    <t>LEMON CURD</t>
  </si>
  <si>
    <t>COSTO 22 CM</t>
  </si>
  <si>
    <t xml:space="preserve">COSTO 20 </t>
  </si>
  <si>
    <t>Yemas</t>
  </si>
  <si>
    <t>Leche</t>
  </si>
  <si>
    <t>zumo limon</t>
  </si>
  <si>
    <t>manteca</t>
  </si>
  <si>
    <t>vainilla</t>
  </si>
  <si>
    <t>MERENGUE</t>
  </si>
  <si>
    <t>PLATO 22</t>
  </si>
  <si>
    <t>PLATO 25</t>
  </si>
  <si>
    <t>CAJA 20</t>
  </si>
  <si>
    <t>PIE CITRICO</t>
  </si>
  <si>
    <t>RECETA FLOR</t>
  </si>
  <si>
    <t>Galletas</t>
  </si>
  <si>
    <t>1 paquete entero</t>
  </si>
  <si>
    <t>yemas solo</t>
  </si>
  <si>
    <t>HS TRABAJO</t>
  </si>
  <si>
    <t>Leche condensada</t>
  </si>
  <si>
    <t>TOTAL COSTE</t>
  </si>
  <si>
    <t>MATERIAL</t>
  </si>
  <si>
    <t>Caja</t>
  </si>
  <si>
    <t>Plato</t>
  </si>
  <si>
    <t>Mangas</t>
  </si>
  <si>
    <t>Lavados</t>
  </si>
  <si>
    <t>CANTIDAD 20 P</t>
  </si>
  <si>
    <t>COSTE 20P</t>
  </si>
  <si>
    <t>Chocolate</t>
  </si>
  <si>
    <t>COSTES INDIRECTOS</t>
  </si>
  <si>
    <t>MASA TAPAS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</si>
</sst>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#,##0.00\ [$€-1]"/>
  </numFmts>
  <fonts count="3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Nunito"/>
    </font>
    <font>
      <sz val="11.0"/>
      <color theme="1"/>
      <name val="Nunito"/>
    </font>
    <font>
      <b/>
      <color theme="1"/>
      <name val="Nunito"/>
    </font>
    <font>
      <b/>
      <sz val="11.0"/>
      <color theme="1"/>
      <name val="Nunito"/>
    </font>
    <font>
      <b/>
      <color rgb="FFFF0000"/>
      <name val="Nunito"/>
    </font>
    <font>
      <color theme="1"/>
      <name val="Roboto"/>
    </font>
    <font>
      <color theme="1"/>
      <name val="Merriweather"/>
    </font>
    <font>
      <b/>
      <sz val="11.0"/>
      <color theme="1"/>
      <name val="Merriweather"/>
    </font>
    <font>
      <b/>
      <sz val="11.0"/>
      <color theme="1"/>
      <name val="Roboto"/>
    </font>
    <font>
      <sz val="11.0"/>
      <color theme="1"/>
      <name val="Impact"/>
    </font>
    <font>
      <color theme="1"/>
      <name val="Arial"/>
    </font>
    <font>
      <color theme="1"/>
      <name val="Oswald"/>
    </font>
    <font>
      <sz val="12.0"/>
      <color theme="1"/>
      <name val="Nunito"/>
    </font>
    <font>
      <b/>
      <color theme="1"/>
      <name val="Roboto Mono"/>
    </font>
    <font>
      <b/>
      <sz val="12.0"/>
      <color rgb="FF674EA7"/>
      <name val="Arial"/>
      <scheme val="minor"/>
    </font>
    <font>
      <sz val="10.0"/>
      <color rgb="FF000000"/>
      <name val="Nunito"/>
    </font>
    <font>
      <b/>
      <color theme="1"/>
      <name val="Arial"/>
    </font>
    <font>
      <b/>
      <sz val="12.0"/>
      <color theme="1"/>
      <name val="Nunito"/>
    </font>
    <font>
      <sz val="9.0"/>
      <color rgb="FF000000"/>
      <name val="Nunito"/>
    </font>
    <font>
      <b/>
      <color rgb="FF000000"/>
      <name val="Nunito"/>
    </font>
    <font>
      <color rgb="FF000000"/>
      <name val="Nunito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9.0"/>
      <color theme="1"/>
      <name val="Nunito"/>
    </font>
    <font>
      <b/>
      <sz val="10.0"/>
      <color theme="1"/>
      <name val="Nunito"/>
    </font>
    <font>
      <b/>
      <color rgb="FFCC0000"/>
      <name val="Arial"/>
      <scheme val="minor"/>
    </font>
    <font>
      <b/>
      <sz val="9.0"/>
      <color rgb="FF000000"/>
      <name val="Nunito"/>
    </font>
    <font>
      <b/>
      <color rgb="FFFF0000"/>
      <name val="Arial"/>
      <scheme val="minor"/>
    </font>
    <font>
      <sz val="9.0"/>
      <color theme="1"/>
      <name val="Nunito"/>
    </font>
    <font>
      <b/>
      <sz val="8.0"/>
      <color theme="1"/>
      <name val="Nunito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0" fillId="5" fontId="3" numFmtId="0" xfId="0" applyAlignment="1" applyFill="1" applyFont="1">
      <alignment horizontal="center"/>
    </xf>
    <xf borderId="0" fillId="5" fontId="3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1" fillId="3" fontId="5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1" fillId="3" fontId="7" numFmtId="165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/>
    </xf>
    <xf borderId="0" fillId="5" fontId="3" numFmtId="165" xfId="0" applyAlignment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6" fontId="11" numFmtId="0" xfId="0" applyAlignment="1" applyFill="1" applyFont="1">
      <alignment readingOrder="0" vertical="bottom"/>
    </xf>
    <xf borderId="0" fillId="6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1" fillId="7" fontId="12" numFmtId="0" xfId="0" applyAlignment="1" applyBorder="1" applyFill="1" applyFont="1">
      <alignment horizontal="center" vertical="bottom"/>
    </xf>
    <xf borderId="1" fillId="7" fontId="12" numFmtId="0" xfId="0" applyAlignment="1" applyBorder="1" applyFont="1">
      <alignment horizontal="center" readingOrder="0" vertical="bottom"/>
    </xf>
    <xf borderId="1" fillId="7" fontId="8" numFmtId="0" xfId="0" applyAlignment="1" applyBorder="1" applyFont="1">
      <alignment vertical="bottom"/>
    </xf>
    <xf borderId="1" fillId="7" fontId="8" numFmtId="0" xfId="0" applyAlignment="1" applyBorder="1" applyFont="1">
      <alignment readingOrder="0" vertical="bottom"/>
    </xf>
    <xf borderId="1" fillId="7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horizontal="center" readingOrder="0" vertical="bottom"/>
    </xf>
    <xf borderId="0" fillId="7" fontId="3" numFmtId="0" xfId="0" applyAlignment="1" applyFont="1">
      <alignment horizontal="center" readingOrder="0" vertical="bottom"/>
    </xf>
    <xf borderId="0" fillId="7" fontId="6" numFmtId="0" xfId="0" applyAlignment="1" applyFont="1">
      <alignment horizontal="center" vertical="bottom"/>
    </xf>
    <xf borderId="1" fillId="7" fontId="8" numFmtId="0" xfId="0" applyAlignment="1" applyBorder="1" applyFont="1">
      <alignment horizontal="center" vertical="bottom"/>
    </xf>
    <xf borderId="0" fillId="8" fontId="5" numFmtId="0" xfId="0" applyAlignment="1" applyFill="1" applyFont="1">
      <alignment horizontal="center" readingOrder="0" vertical="bottom"/>
    </xf>
    <xf borderId="0" fillId="7" fontId="3" numFmtId="0" xfId="0" applyAlignment="1" applyFont="1">
      <alignment horizontal="center" vertical="bottom"/>
    </xf>
    <xf borderId="1" fillId="9" fontId="14" numFmtId="0" xfId="0" applyAlignment="1" applyBorder="1" applyFill="1" applyFont="1">
      <alignment horizontal="center" readingOrder="0" vertical="bottom"/>
    </xf>
    <xf borderId="1" fillId="10" fontId="14" numFmtId="0" xfId="0" applyAlignment="1" applyBorder="1" applyFill="1" applyFont="1">
      <alignment horizontal="center" readingOrder="0" vertical="bottom"/>
    </xf>
    <xf borderId="2" fillId="9" fontId="14" numFmtId="0" xfId="0" applyAlignment="1" applyBorder="1" applyFont="1">
      <alignment horizontal="center" readingOrder="0" vertical="bottom"/>
    </xf>
    <xf borderId="0" fillId="7" fontId="14" numFmtId="0" xfId="0" applyAlignment="1" applyFont="1">
      <alignment horizontal="center" readingOrder="0" vertical="bottom"/>
    </xf>
    <xf borderId="1" fillId="10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readingOrder="0"/>
    </xf>
    <xf borderId="1" fillId="10" fontId="5" numFmtId="0" xfId="0" applyAlignment="1" applyBorder="1" applyFont="1">
      <alignment horizontal="center" readingOrder="0"/>
    </xf>
    <xf borderId="2" fillId="7" fontId="3" numFmtId="0" xfId="0" applyAlignment="1" applyBorder="1" applyFont="1">
      <alignment horizontal="center"/>
    </xf>
    <xf borderId="0" fillId="7" fontId="3" numFmtId="0" xfId="0" applyAlignment="1" applyFont="1">
      <alignment horizontal="center"/>
    </xf>
    <xf borderId="1" fillId="7" fontId="3" numFmtId="0" xfId="0" applyAlignment="1" applyBorder="1" applyFont="1">
      <alignment horizontal="center"/>
    </xf>
    <xf borderId="1" fillId="10" fontId="3" numFmtId="0" xfId="0" applyAlignment="1" applyBorder="1" applyFont="1">
      <alignment horizontal="center" readingOrder="0"/>
    </xf>
    <xf borderId="0" fillId="7" fontId="8" numFmtId="0" xfId="0" applyAlignment="1" applyFont="1">
      <alignment vertical="bottom"/>
    </xf>
    <xf borderId="1" fillId="7" fontId="11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15" numFmtId="0" xfId="0" applyAlignment="1" applyFont="1">
      <alignment horizontal="center" vertical="bottom"/>
    </xf>
    <xf borderId="0" fillId="2" fontId="8" numFmtId="0" xfId="0" applyAlignment="1" applyFont="1">
      <alignment readingOrder="0" vertical="bottom"/>
    </xf>
    <xf borderId="0" fillId="2" fontId="3" numFmtId="0" xfId="0" applyAlignment="1" applyFont="1">
      <alignment horizontal="center" vertical="bottom"/>
    </xf>
    <xf borderId="0" fillId="2" fontId="8" numFmtId="0" xfId="0" applyAlignment="1" applyFont="1">
      <alignment vertical="bottom"/>
    </xf>
    <xf borderId="0" fillId="7" fontId="16" numFmtId="0" xfId="0" applyAlignment="1" applyFont="1">
      <alignment readingOrder="0" vertical="bottom"/>
    </xf>
    <xf borderId="0" fillId="7" fontId="1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8" fontId="8" numFmtId="0" xfId="0" applyAlignment="1" applyFont="1">
      <alignment readingOrder="0" vertical="bottom"/>
    </xf>
    <xf borderId="0" fillId="8" fontId="8" numFmtId="0" xfId="0" applyAlignment="1" applyFont="1">
      <alignment vertical="bottom"/>
    </xf>
    <xf borderId="0" fillId="7" fontId="12" numFmtId="0" xfId="0" applyAlignment="1" applyFont="1">
      <alignment horizontal="center" vertical="bottom"/>
    </xf>
    <xf borderId="3" fillId="7" fontId="8" numFmtId="0" xfId="0" applyAlignment="1" applyBorder="1" applyFont="1">
      <alignment readingOrder="0" vertical="bottom"/>
    </xf>
    <xf borderId="3" fillId="7" fontId="13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0" fillId="7" fontId="8" numFmtId="0" xfId="0" applyAlignment="1" applyFont="1">
      <alignment horizontal="center" vertical="bottom"/>
    </xf>
    <xf borderId="1" fillId="7" fontId="8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11" fontId="5" numFmtId="0" xfId="0" applyAlignment="1" applyFill="1" applyFont="1">
      <alignment horizontal="center" readingOrder="0"/>
    </xf>
    <xf borderId="1" fillId="12" fontId="6" numFmtId="0" xfId="0" applyAlignment="1" applyBorder="1" applyFill="1" applyFont="1">
      <alignment horizontal="center" vertical="bottom"/>
    </xf>
    <xf borderId="1" fillId="12" fontId="6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readingOrder="0" vertical="bottom"/>
    </xf>
    <xf borderId="1" fillId="9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ont="1" applyNumberFormat="1">
      <alignment horizontal="center"/>
    </xf>
    <xf borderId="1" fillId="9" fontId="3" numFmtId="0" xfId="0" applyAlignment="1" applyBorder="1" applyFont="1">
      <alignment horizontal="center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horizontal="center" readingOrder="0"/>
    </xf>
    <xf borderId="1" fillId="12" fontId="5" numFmtId="165" xfId="0" applyAlignment="1" applyBorder="1" applyFont="1" applyNumberFormat="1">
      <alignment horizontal="center"/>
    </xf>
    <xf borderId="0" fillId="12" fontId="3" numFmtId="0" xfId="0" applyAlignment="1" applyFont="1">
      <alignment horizontal="center" readingOrder="0"/>
    </xf>
    <xf borderId="1" fillId="9" fontId="3" numFmtId="0" xfId="0" applyAlignment="1" applyBorder="1" applyFont="1">
      <alignment horizontal="center"/>
    </xf>
    <xf borderId="1" fillId="12" fontId="5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11" fontId="3" numFmtId="0" xfId="0" applyAlignment="1" applyFont="1">
      <alignment horizontal="center" readingOrder="0"/>
    </xf>
    <xf borderId="1" fillId="12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/>
    </xf>
    <xf borderId="1" fillId="10" fontId="6" numFmtId="0" xfId="0" applyAlignment="1" applyBorder="1" applyFont="1">
      <alignment horizontal="center" readingOrder="0"/>
    </xf>
    <xf borderId="1" fillId="10" fontId="6" numFmtId="0" xfId="0" applyAlignment="1" applyBorder="1" applyFont="1">
      <alignment horizontal="center"/>
    </xf>
    <xf borderId="0" fillId="0" fontId="17" numFmtId="0" xfId="0" applyAlignment="1" applyFont="1">
      <alignment readingOrder="0"/>
    </xf>
    <xf borderId="0" fillId="9" fontId="8" numFmtId="0" xfId="0" applyAlignment="1" applyFont="1">
      <alignment horizontal="center" readingOrder="0" vertical="bottom"/>
    </xf>
    <xf borderId="4" fillId="7" fontId="3" numFmtId="0" xfId="0" applyAlignment="1" applyBorder="1" applyFont="1">
      <alignment horizontal="center" readingOrder="0" vertical="bottom"/>
    </xf>
    <xf borderId="5" fillId="13" fontId="3" numFmtId="0" xfId="0" applyAlignment="1" applyBorder="1" applyFill="1" applyFont="1">
      <alignment horizontal="center" readingOrder="0" vertical="bottom"/>
    </xf>
    <xf borderId="6" fillId="7" fontId="3" numFmtId="0" xfId="0" applyAlignment="1" applyBorder="1" applyFont="1">
      <alignment horizontal="center" readingOrder="0" vertical="bottom"/>
    </xf>
    <xf borderId="7" fillId="13" fontId="3" numFmtId="0" xfId="0" applyAlignment="1" applyBorder="1" applyFont="1">
      <alignment horizontal="center" readingOrder="0" vertical="bottom"/>
    </xf>
    <xf borderId="6" fillId="7" fontId="8" numFmtId="0" xfId="0" applyAlignment="1" applyBorder="1" applyFont="1">
      <alignment horizontal="center" vertical="bottom"/>
    </xf>
    <xf borderId="7" fillId="13" fontId="8" numFmtId="0" xfId="0" applyAlignment="1" applyBorder="1" applyFont="1">
      <alignment horizontal="center" vertical="bottom"/>
    </xf>
    <xf borderId="6" fillId="7" fontId="2" numFmtId="0" xfId="0" applyAlignment="1" applyBorder="1" applyFont="1">
      <alignment readingOrder="0"/>
    </xf>
    <xf borderId="7" fillId="13" fontId="2" numFmtId="0" xfId="0" applyAlignment="1" applyBorder="1" applyFont="1">
      <alignment readingOrder="0"/>
    </xf>
    <xf borderId="8" fillId="7" fontId="2" numFmtId="0" xfId="0" applyBorder="1" applyFont="1"/>
    <xf borderId="9" fillId="13" fontId="2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9" fontId="3" numFmtId="0" xfId="0" applyAlignment="1" applyFont="1">
      <alignment horizontal="center" readingOrder="0" vertical="bottom"/>
    </xf>
    <xf borderId="1" fillId="9" fontId="2" numFmtId="165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 vertical="bottom"/>
    </xf>
    <xf borderId="1" fillId="9" fontId="5" numFmtId="165" xfId="0" applyAlignment="1" applyBorder="1" applyFont="1" applyNumberFormat="1">
      <alignment horizontal="center" vertical="bottom"/>
    </xf>
    <xf borderId="1" fillId="9" fontId="1" numFmtId="165" xfId="0" applyAlignment="1" applyBorder="1" applyFont="1" applyNumberFormat="1">
      <alignment horizontal="center"/>
    </xf>
    <xf borderId="0" fillId="7" fontId="3" numFmtId="165" xfId="0" applyAlignment="1" applyFont="1" applyNumberFormat="1">
      <alignment horizontal="center" vertical="bottom"/>
    </xf>
    <xf borderId="0" fillId="7" fontId="5" numFmtId="165" xfId="0" applyAlignment="1" applyFont="1" applyNumberFormat="1">
      <alignment horizontal="center" vertical="bottom"/>
    </xf>
    <xf borderId="0" fillId="7" fontId="5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8" fontId="2" numFmtId="0" xfId="0" applyAlignment="1" applyBorder="1" applyFont="1">
      <alignment horizontal="center" readingOrder="0"/>
    </xf>
    <xf borderId="1" fillId="8" fontId="0" numFmtId="0" xfId="0" applyAlignment="1" applyBorder="1" applyFont="1">
      <alignment horizontal="center"/>
    </xf>
    <xf borderId="1" fillId="9" fontId="2" numFmtId="0" xfId="0" applyAlignment="1" applyBorder="1" applyFont="1">
      <alignment horizontal="center"/>
    </xf>
    <xf borderId="0" fillId="8" fontId="2" numFmtId="0" xfId="0" applyAlignment="1" applyFont="1">
      <alignment horizontal="center" readingOrder="0"/>
    </xf>
    <xf borderId="1" fillId="8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/>
    </xf>
    <xf borderId="0" fillId="7" fontId="3" numFmtId="0" xfId="0" applyAlignment="1" applyFont="1">
      <alignment horizontal="center" readingOrder="0"/>
    </xf>
    <xf borderId="0" fillId="7" fontId="18" numFmtId="0" xfId="0" applyAlignment="1" applyFont="1">
      <alignment horizontal="center"/>
    </xf>
    <xf borderId="0" fillId="10" fontId="2" numFmtId="0" xfId="0" applyAlignment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/>
    </xf>
    <xf borderId="1" fillId="4" fontId="13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vertical="bottom"/>
    </xf>
    <xf borderId="0" fillId="4" fontId="2" numFmtId="0" xfId="0" applyAlignment="1" applyFont="1">
      <alignment horizontal="center" readingOrder="0"/>
    </xf>
    <xf borderId="0" fillId="0" fontId="13" numFmtId="0" xfId="0" applyAlignment="1" applyFont="1">
      <alignment vertical="bottom"/>
    </xf>
    <xf borderId="1" fillId="14" fontId="19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0" fillId="15" fontId="2" numFmtId="0" xfId="0" applyAlignment="1" applyFill="1" applyFont="1">
      <alignment horizontal="center" readingOrder="0"/>
    </xf>
    <xf borderId="1" fillId="14" fontId="1" numFmtId="0" xfId="0" applyAlignment="1" applyBorder="1" applyFont="1">
      <alignment horizontal="center"/>
    </xf>
    <xf borderId="1" fillId="7" fontId="20" numFmtId="0" xfId="0" applyAlignment="1" applyBorder="1" applyFont="1">
      <alignment horizontal="center" readingOrder="0"/>
    </xf>
    <xf borderId="1" fillId="7" fontId="20" numFmtId="165" xfId="0" applyAlignment="1" applyBorder="1" applyFont="1" applyNumberFormat="1">
      <alignment horizontal="center"/>
    </xf>
    <xf borderId="1" fillId="13" fontId="20" numFmtId="0" xfId="0" applyAlignment="1" applyBorder="1" applyFont="1">
      <alignment horizontal="center" readingOrder="0"/>
    </xf>
    <xf borderId="0" fillId="7" fontId="21" numFmtId="0" xfId="0" applyAlignment="1" applyFont="1">
      <alignment horizontal="center"/>
    </xf>
    <xf borderId="0" fillId="7" fontId="5" numFmtId="0" xfId="0" applyAlignment="1" applyFont="1">
      <alignment horizontal="center" readingOrder="0"/>
    </xf>
    <xf borderId="0" fillId="7" fontId="22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7" fontId="23" numFmtId="0" xfId="0" applyAlignment="1" applyFont="1">
      <alignment horizontal="center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3" fontId="2" numFmtId="165" xfId="0" applyAlignment="1" applyBorder="1" applyFont="1" applyNumberFormat="1">
      <alignment horizontal="center"/>
    </xf>
    <xf borderId="0" fillId="16" fontId="3" numFmtId="0" xfId="0" applyAlignment="1" applyFill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3" fontId="8" numFmtId="165" xfId="0" applyAlignment="1" applyBorder="1" applyFont="1" applyNumberFormat="1">
      <alignment horizontal="center" readingOrder="0" vertical="bottom"/>
    </xf>
    <xf borderId="0" fillId="7" fontId="8" numFmtId="165" xfId="0" applyAlignment="1" applyFont="1" applyNumberForma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horizontal="center"/>
    </xf>
    <xf borderId="1" fillId="15" fontId="2" numFmtId="0" xfId="0" applyAlignment="1" applyBorder="1" applyFont="1">
      <alignment horizontal="center" readingOrder="0"/>
    </xf>
    <xf borderId="1" fillId="15" fontId="2" numFmtId="0" xfId="0" applyAlignment="1" applyBorder="1" applyFont="1">
      <alignment horizontal="center"/>
    </xf>
    <xf borderId="1" fillId="15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 readingOrder="0"/>
    </xf>
    <xf borderId="1" fillId="0" fontId="24" numFmtId="165" xfId="0" applyAlignment="1" applyBorder="1" applyFont="1" applyNumberFormat="1">
      <alignment horizontal="center"/>
    </xf>
    <xf borderId="1" fillId="10" fontId="24" numFmtId="0" xfId="0" applyAlignment="1" applyBorder="1" applyFont="1">
      <alignment horizontal="center" readingOrder="0"/>
    </xf>
    <xf borderId="1" fillId="7" fontId="24" numFmtId="0" xfId="0" applyAlignment="1" applyBorder="1" applyFont="1">
      <alignment horizontal="center" readingOrder="0"/>
    </xf>
    <xf borderId="1" fillId="7" fontId="24" numFmtId="165" xfId="0" applyAlignment="1" applyBorder="1" applyFont="1" applyNumberFormat="1">
      <alignment horizontal="center" readingOrder="0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9" fontId="25" numFmtId="0" xfId="0" applyBorder="1" applyFont="1"/>
    <xf borderId="1" fillId="9" fontId="25" numFmtId="0" xfId="0" applyAlignment="1" applyBorder="1" applyFont="1">
      <alignment horizontal="center"/>
    </xf>
    <xf borderId="0" fillId="9" fontId="25" numFmtId="0" xfId="0" applyAlignment="1" applyFont="1">
      <alignment readingOrder="0"/>
    </xf>
    <xf borderId="0" fillId="9" fontId="25" numFmtId="0" xfId="0" applyFont="1"/>
    <xf borderId="0" fillId="5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5" xfId="0" applyBorder="1" applyFont="1" applyNumberFormat="1"/>
    <xf borderId="1" fillId="9" fontId="25" numFmtId="0" xfId="0" applyAlignment="1" applyBorder="1" applyFont="1">
      <alignment readingOrder="0"/>
    </xf>
    <xf borderId="0" fillId="17" fontId="5" numFmtId="0" xfId="0" applyAlignment="1" applyFill="1" applyFont="1">
      <alignment horizontal="center" readingOrder="0"/>
    </xf>
    <xf borderId="1" fillId="7" fontId="26" numFmtId="0" xfId="0" applyAlignment="1" applyBorder="1" applyFont="1">
      <alignment horizontal="center" vertical="bottom"/>
    </xf>
    <xf borderId="1" fillId="7" fontId="26" numFmtId="0" xfId="0" applyAlignment="1" applyBorder="1" applyFont="1">
      <alignment horizontal="center" readingOrder="0" vertical="bottom"/>
    </xf>
    <xf borderId="0" fillId="9" fontId="3" numFmtId="0" xfId="0" applyAlignment="1" applyFont="1">
      <alignment horizontal="center" readingOrder="0"/>
    </xf>
    <xf borderId="0" fillId="9" fontId="3" numFmtId="0" xfId="0" applyAlignment="1" applyFont="1">
      <alignment horizontal="center"/>
    </xf>
    <xf borderId="1" fillId="18" fontId="3" numFmtId="0" xfId="0" applyAlignment="1" applyBorder="1" applyFill="1" applyFont="1">
      <alignment horizontal="center" readingOrder="0"/>
    </xf>
    <xf borderId="1" fillId="17" fontId="5" numFmtId="0" xfId="0" applyAlignment="1" applyBorder="1" applyFont="1">
      <alignment horizontal="center"/>
    </xf>
    <xf borderId="1" fillId="7" fontId="27" numFmtId="0" xfId="0" applyAlignment="1" applyBorder="1" applyFont="1">
      <alignment horizontal="center" vertical="bottom"/>
    </xf>
    <xf borderId="1" fillId="7" fontId="27" numFmtId="0" xfId="0" applyAlignment="1" applyBorder="1" applyFont="1">
      <alignment horizontal="center" readingOrder="0" vertical="bottom"/>
    </xf>
    <xf borderId="0" fillId="7" fontId="13" numFmtId="0" xfId="0" applyAlignment="1" applyFont="1">
      <alignment horizontal="center" readingOrder="0" vertical="bottom"/>
    </xf>
    <xf borderId="1" fillId="17" fontId="5" numFmtId="0" xfId="0" applyAlignment="1" applyBorder="1" applyFont="1">
      <alignment horizontal="center" vertical="bottom"/>
    </xf>
    <xf borderId="1" fillId="17" fontId="6" numFmtId="0" xfId="0" applyAlignment="1" applyBorder="1" applyFont="1">
      <alignment horizontal="center" vertical="bottom"/>
    </xf>
    <xf borderId="0" fillId="0" fontId="28" numFmtId="0" xfId="0" applyAlignment="1" applyFont="1">
      <alignment horizontal="center" readingOrder="0"/>
    </xf>
    <xf borderId="1" fillId="7" fontId="3" numFmtId="165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horizontal="center"/>
    </xf>
    <xf borderId="1" fillId="19" fontId="2" numFmtId="0" xfId="0" applyAlignment="1" applyBorder="1" applyFill="1" applyFont="1">
      <alignment horizontal="center" readingOrder="0"/>
    </xf>
    <xf borderId="1" fillId="19" fontId="2" numFmtId="0" xfId="0" applyAlignment="1" applyBorder="1" applyFont="1">
      <alignment horizontal="center"/>
    </xf>
    <xf borderId="1" fillId="19" fontId="1" numFmtId="0" xfId="0" applyAlignment="1" applyBorder="1" applyFont="1">
      <alignment horizontal="center"/>
    </xf>
    <xf borderId="0" fillId="9" fontId="2" numFmtId="0" xfId="0" applyAlignment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3" fontId="25" numFmtId="0" xfId="0" applyAlignment="1" applyBorder="1" applyFont="1">
      <alignment horizontal="center" readingOrder="0"/>
    </xf>
    <xf borderId="10" fillId="3" fontId="25" numFmtId="0" xfId="0" applyAlignment="1" applyBorder="1" applyFont="1">
      <alignment horizontal="center" readingOrder="0"/>
    </xf>
    <xf borderId="5" fillId="3" fontId="25" numFmtId="0" xfId="0" applyAlignment="1" applyBorder="1" applyFont="1">
      <alignment horizontal="center" readingOrder="0"/>
    </xf>
    <xf borderId="0" fillId="7" fontId="25" numFmtId="0" xfId="0" applyAlignment="1" applyFont="1">
      <alignment horizontal="center" readingOrder="0"/>
    </xf>
    <xf borderId="6" fillId="20" fontId="5" numFmtId="0" xfId="0" applyAlignment="1" applyBorder="1" applyFill="1" applyFont="1">
      <alignment horizontal="center" readingOrder="0"/>
    </xf>
    <xf borderId="0" fillId="20" fontId="5" numFmtId="0" xfId="0" applyAlignment="1" applyFont="1">
      <alignment horizontal="center" readingOrder="0"/>
    </xf>
    <xf borderId="0" fillId="20" fontId="5" numFmtId="165" xfId="0" applyAlignment="1" applyFont="1" applyNumberFormat="1">
      <alignment horizontal="center"/>
    </xf>
    <xf borderId="7" fillId="20" fontId="5" numFmtId="165" xfId="0" applyAlignment="1" applyBorder="1" applyFont="1" applyNumberFormat="1">
      <alignment horizontal="center"/>
    </xf>
    <xf borderId="0" fillId="20" fontId="29" numFmtId="165" xfId="0" applyAlignment="1" applyFont="1" applyNumberFormat="1">
      <alignment horizontal="center"/>
    </xf>
    <xf borderId="7" fillId="20" fontId="29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8" fillId="20" fontId="5" numFmtId="0" xfId="0" applyAlignment="1" applyBorder="1" applyFont="1">
      <alignment horizontal="center" readingOrder="0"/>
    </xf>
    <xf borderId="11" fillId="20" fontId="5" numFmtId="0" xfId="0" applyAlignment="1" applyBorder="1" applyFont="1">
      <alignment horizontal="center" readingOrder="0"/>
    </xf>
    <xf borderId="11" fillId="20" fontId="29" numFmtId="165" xfId="0" applyAlignment="1" applyBorder="1" applyFont="1" applyNumberFormat="1">
      <alignment horizontal="center"/>
    </xf>
    <xf borderId="9" fillId="20" fontId="29" numFmtId="165" xfId="0" applyAlignment="1" applyBorder="1" applyFont="1" applyNumberFormat="1">
      <alignment horizontal="center"/>
    </xf>
    <xf borderId="1" fillId="3" fontId="2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8" fillId="3" fontId="5" numFmtId="0" xfId="0" applyAlignment="1" applyBorder="1" applyFont="1">
      <alignment horizontal="center" readingOrder="0"/>
    </xf>
    <xf borderId="11" fillId="3" fontId="5" numFmtId="0" xfId="0" applyAlignment="1" applyBorder="1" applyFont="1">
      <alignment horizontal="center" readingOrder="0"/>
    </xf>
    <xf borderId="1" fillId="8" fontId="0" numFmtId="165" xfId="0" applyAlignment="1" applyBorder="1" applyFont="1" applyNumberFormat="1">
      <alignment horizontal="center"/>
    </xf>
    <xf borderId="1" fillId="8" fontId="1" numFmtId="165" xfId="0" applyAlignment="1" applyBorder="1" applyFont="1" applyNumberFormat="1">
      <alignment horizontal="center"/>
    </xf>
    <xf borderId="0" fillId="0" fontId="13" numFmtId="0" xfId="0" applyAlignment="1" applyFont="1">
      <alignment horizontal="center" vertical="bottom"/>
    </xf>
    <xf borderId="1" fillId="0" fontId="30" numFmtId="165" xfId="0" applyAlignment="1" applyBorder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7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9" fontId="24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 readingOrder="0"/>
    </xf>
    <xf borderId="1" fillId="7" fontId="2" numFmtId="165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/>
    </xf>
    <xf borderId="0" fillId="0" fontId="27" numFmtId="0" xfId="0" applyAlignment="1" applyFont="1">
      <alignment horizontal="center" readingOrder="0"/>
    </xf>
    <xf borderId="1" fillId="7" fontId="31" numFmtId="0" xfId="0" applyAlignment="1" applyBorder="1" applyFont="1">
      <alignment horizontal="center" readingOrder="0"/>
    </xf>
    <xf borderId="1" fillId="7" fontId="31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9" fontId="5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/>
    </xf>
    <xf borderId="1" fillId="14" fontId="5" numFmtId="0" xfId="0" applyAlignment="1" applyBorder="1" applyFont="1">
      <alignment horizontal="center"/>
    </xf>
    <xf borderId="0" fillId="9" fontId="20" numFmtId="0" xfId="0" applyAlignment="1" applyFont="1">
      <alignment horizontal="center" readingOrder="0"/>
    </xf>
    <xf borderId="0" fillId="9" fontId="20" numFmtId="0" xfId="0" applyAlignment="1" applyFont="1">
      <alignment horizontal="center"/>
    </xf>
    <xf borderId="0" fillId="7" fontId="3" numFmtId="165" xfId="0" applyAlignment="1" applyFont="1" applyNumberFormat="1">
      <alignment horizontal="center"/>
    </xf>
    <xf borderId="0" fillId="16" fontId="6" numFmtId="0" xfId="0" applyAlignment="1" applyFont="1">
      <alignment horizontal="center" readingOrder="0"/>
    </xf>
    <xf borderId="0" fillId="16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16" fontId="5" numFmtId="0" xfId="0" applyAlignment="1" applyFont="1">
      <alignment horizontal="center" readingOrder="0"/>
    </xf>
    <xf borderId="0" fillId="21" fontId="6" numFmtId="0" xfId="0" applyAlignment="1" applyFill="1" applyFont="1">
      <alignment horizontal="center"/>
    </xf>
    <xf borderId="0" fillId="21" fontId="6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2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1" fillId="21" fontId="6" numFmtId="0" xfId="0" applyAlignment="1" applyBorder="1" applyFont="1">
      <alignment horizontal="center"/>
    </xf>
    <xf borderId="0" fillId="7" fontId="12" numFmtId="0" xfId="0" applyAlignment="1" applyFont="1">
      <alignment horizontal="center" readingOrder="0" vertical="bottom"/>
    </xf>
    <xf borderId="0" fillId="2" fontId="12" numFmtId="0" xfId="0" applyAlignment="1" applyFont="1">
      <alignment horizontal="center" readingOrder="0" vertical="bottom"/>
    </xf>
    <xf borderId="0" fillId="2" fontId="12" numFmtId="0" xfId="0" applyAlignment="1" applyFont="1">
      <alignment horizontal="center" vertical="bottom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8" fontId="6" numFmtId="0" xfId="0" applyAlignment="1" applyBorder="1" applyFont="1">
      <alignment horizontal="center" vertical="bottom"/>
    </xf>
    <xf borderId="0" fillId="8" fontId="6" numFmtId="0" xfId="0" applyAlignment="1" applyFont="1">
      <alignment horizontal="center" vertical="bottom"/>
    </xf>
    <xf borderId="0" fillId="2" fontId="2" numFmtId="0" xfId="0" applyAlignment="1" applyFont="1">
      <alignment readingOrder="0"/>
    </xf>
    <xf borderId="0" fillId="2" fontId="2" numFmtId="0" xfId="0" applyFont="1"/>
    <xf borderId="1" fillId="21" fontId="6" numFmtId="0" xfId="0" applyAlignment="1" applyBorder="1" applyFont="1">
      <alignment horizontal="center" vertical="bottom"/>
    </xf>
    <xf borderId="0" fillId="21" fontId="6" numFmtId="0" xfId="0" applyAlignment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1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1" fillId="10" fontId="1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13"/>
    <col customWidth="1" min="3" max="3" width="15.88"/>
    <col customWidth="1" min="4" max="4" width="19.8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>
        <v>45717.0</v>
      </c>
      <c r="B3" s="4" t="s">
        <v>11</v>
      </c>
      <c r="D3" s="4" t="s">
        <v>12</v>
      </c>
      <c r="E3" s="4">
        <v>20.0</v>
      </c>
      <c r="F3" s="4" t="s">
        <v>13</v>
      </c>
      <c r="G3" s="4"/>
      <c r="H3" s="4" t="s">
        <v>14</v>
      </c>
      <c r="I3" s="4">
        <v>35.0</v>
      </c>
      <c r="J3" s="4">
        <v>15.59</v>
      </c>
      <c r="K3" s="5">
        <f t="shared" ref="K3:K58" si="1">SUM(I3-J3)</f>
        <v>19.41</v>
      </c>
    </row>
    <row r="4">
      <c r="A4" s="3">
        <v>45705.0</v>
      </c>
      <c r="B4" s="4" t="s">
        <v>15</v>
      </c>
      <c r="D4" s="4" t="s">
        <v>16</v>
      </c>
      <c r="E4" s="4">
        <v>20.0</v>
      </c>
      <c r="F4" s="4" t="s">
        <v>17</v>
      </c>
      <c r="G4" s="4"/>
      <c r="H4" s="4" t="s">
        <v>18</v>
      </c>
      <c r="I4" s="4">
        <v>40.0</v>
      </c>
      <c r="J4" s="4">
        <v>14.25</v>
      </c>
      <c r="K4" s="5">
        <f t="shared" si="1"/>
        <v>25.75</v>
      </c>
    </row>
    <row r="5">
      <c r="A5" s="3">
        <v>45703.0</v>
      </c>
      <c r="B5" s="4" t="s">
        <v>19</v>
      </c>
      <c r="D5" s="4" t="s">
        <v>20</v>
      </c>
      <c r="E5" s="4">
        <v>20.0</v>
      </c>
      <c r="F5" s="4" t="s">
        <v>17</v>
      </c>
      <c r="G5" s="4" t="s">
        <v>21</v>
      </c>
      <c r="H5" s="4" t="s">
        <v>22</v>
      </c>
      <c r="I5" s="4">
        <v>50.0</v>
      </c>
      <c r="J5" s="4">
        <v>30.55</v>
      </c>
      <c r="K5" s="5">
        <f t="shared" si="1"/>
        <v>19.45</v>
      </c>
    </row>
    <row r="6">
      <c r="A6" s="3">
        <v>45704.0</v>
      </c>
      <c r="B6" s="4" t="s">
        <v>23</v>
      </c>
      <c r="D6" s="4" t="s">
        <v>20</v>
      </c>
      <c r="E6" s="4">
        <v>18.0</v>
      </c>
      <c r="F6" s="4" t="s">
        <v>17</v>
      </c>
      <c r="G6" s="4" t="s">
        <v>21</v>
      </c>
      <c r="H6" s="4" t="s">
        <v>24</v>
      </c>
      <c r="I6" s="4">
        <v>45.0</v>
      </c>
      <c r="J6" s="4">
        <v>29.95</v>
      </c>
      <c r="K6" s="5">
        <f t="shared" si="1"/>
        <v>15.05</v>
      </c>
    </row>
    <row r="7">
      <c r="A7" s="3">
        <v>45710.0</v>
      </c>
      <c r="B7" s="4" t="s">
        <v>25</v>
      </c>
      <c r="D7" s="4" t="s">
        <v>26</v>
      </c>
      <c r="E7" s="4">
        <v>20.0</v>
      </c>
      <c r="F7" s="4" t="s">
        <v>27</v>
      </c>
      <c r="H7" s="4" t="s">
        <v>28</v>
      </c>
      <c r="I7" s="4">
        <v>20.0</v>
      </c>
      <c r="J7" s="4">
        <v>9.08</v>
      </c>
      <c r="K7" s="5">
        <f t="shared" si="1"/>
        <v>10.92</v>
      </c>
    </row>
    <row r="8">
      <c r="A8" s="3">
        <v>45718.0</v>
      </c>
      <c r="B8" s="4" t="s">
        <v>29</v>
      </c>
      <c r="D8" s="4" t="s">
        <v>20</v>
      </c>
      <c r="E8" s="4">
        <v>24.0</v>
      </c>
      <c r="F8" s="4" t="s">
        <v>17</v>
      </c>
      <c r="G8" s="4" t="s">
        <v>21</v>
      </c>
      <c r="H8" s="4" t="s">
        <v>30</v>
      </c>
      <c r="I8" s="4">
        <v>65.0</v>
      </c>
      <c r="J8" s="4">
        <v>40.23</v>
      </c>
      <c r="K8" s="5">
        <f t="shared" si="1"/>
        <v>24.77</v>
      </c>
    </row>
    <row r="9">
      <c r="A9" s="4" t="s">
        <v>31</v>
      </c>
      <c r="B9" s="4" t="s">
        <v>32</v>
      </c>
      <c r="D9" s="4" t="s">
        <v>20</v>
      </c>
      <c r="E9" s="4">
        <v>20.0</v>
      </c>
      <c r="F9" s="4" t="s">
        <v>33</v>
      </c>
      <c r="H9" s="4" t="s">
        <v>34</v>
      </c>
      <c r="I9" s="4">
        <v>45.0</v>
      </c>
      <c r="J9" s="4">
        <v>15.27</v>
      </c>
      <c r="K9" s="5">
        <f t="shared" si="1"/>
        <v>29.73</v>
      </c>
    </row>
    <row r="10">
      <c r="A10" s="3">
        <v>45688.0</v>
      </c>
      <c r="B10" s="4" t="s">
        <v>35</v>
      </c>
      <c r="D10" s="4" t="s">
        <v>20</v>
      </c>
      <c r="E10" s="4">
        <v>20.0</v>
      </c>
      <c r="F10" s="4" t="s">
        <v>17</v>
      </c>
      <c r="H10" s="4" t="s">
        <v>36</v>
      </c>
      <c r="I10" s="4">
        <v>35.0</v>
      </c>
      <c r="J10" s="4">
        <v>30.55</v>
      </c>
      <c r="K10" s="5">
        <f t="shared" si="1"/>
        <v>4.45</v>
      </c>
    </row>
    <row r="11">
      <c r="A11" s="3">
        <v>45682.0</v>
      </c>
      <c r="B11" s="4" t="s">
        <v>37</v>
      </c>
      <c r="D11" s="4" t="s">
        <v>20</v>
      </c>
      <c r="E11" s="4">
        <v>20.0</v>
      </c>
      <c r="F11" s="4" t="s">
        <v>17</v>
      </c>
      <c r="G11" s="4" t="s">
        <v>21</v>
      </c>
      <c r="H11" s="4" t="s">
        <v>38</v>
      </c>
      <c r="I11" s="4">
        <v>45.0</v>
      </c>
      <c r="J11" s="4">
        <v>30.55</v>
      </c>
      <c r="K11" s="5">
        <f t="shared" si="1"/>
        <v>14.45</v>
      </c>
    </row>
    <row r="12">
      <c r="A12" s="3">
        <v>45682.0</v>
      </c>
      <c r="B12" s="4" t="s">
        <v>37</v>
      </c>
      <c r="D12" s="4" t="s">
        <v>20</v>
      </c>
      <c r="E12" s="4">
        <v>20.0</v>
      </c>
      <c r="F12" s="4" t="s">
        <v>17</v>
      </c>
      <c r="G12" s="4" t="s">
        <v>21</v>
      </c>
      <c r="H12" s="4" t="s">
        <v>39</v>
      </c>
      <c r="I12" s="4">
        <v>45.0</v>
      </c>
      <c r="J12" s="4">
        <v>30.55</v>
      </c>
      <c r="K12" s="5">
        <f t="shared" si="1"/>
        <v>14.45</v>
      </c>
    </row>
    <row r="13">
      <c r="A13" s="3">
        <v>45686.0</v>
      </c>
      <c r="B13" s="4" t="s">
        <v>40</v>
      </c>
      <c r="D13" s="4" t="s">
        <v>20</v>
      </c>
      <c r="E13" s="4">
        <v>24.0</v>
      </c>
      <c r="F13" s="4" t="s">
        <v>17</v>
      </c>
      <c r="G13" s="4" t="s">
        <v>21</v>
      </c>
      <c r="H13" s="4" t="s">
        <v>41</v>
      </c>
      <c r="I13" s="4">
        <v>50.0</v>
      </c>
      <c r="J13" s="4">
        <v>40.23</v>
      </c>
      <c r="K13" s="5">
        <f t="shared" si="1"/>
        <v>9.77</v>
      </c>
    </row>
    <row r="14">
      <c r="A14" s="3">
        <v>45686.0</v>
      </c>
      <c r="B14" s="4" t="s">
        <v>25</v>
      </c>
      <c r="D14" s="4" t="s">
        <v>20</v>
      </c>
      <c r="E14" s="4">
        <v>18.0</v>
      </c>
      <c r="F14" s="4" t="s">
        <v>17</v>
      </c>
      <c r="H14" s="4" t="s">
        <v>42</v>
      </c>
      <c r="I14" s="4">
        <v>40.0</v>
      </c>
      <c r="J14" s="4">
        <v>29.95</v>
      </c>
      <c r="K14" s="5">
        <f t="shared" si="1"/>
        <v>10.05</v>
      </c>
    </row>
    <row r="15">
      <c r="A15" s="3">
        <v>45684.0</v>
      </c>
      <c r="B15" s="4" t="s">
        <v>37</v>
      </c>
      <c r="D15" s="4" t="s">
        <v>20</v>
      </c>
      <c r="E15" s="4">
        <v>20.0</v>
      </c>
      <c r="F15" s="4" t="s">
        <v>17</v>
      </c>
      <c r="G15" s="4" t="s">
        <v>21</v>
      </c>
      <c r="H15" s="4" t="s">
        <v>43</v>
      </c>
      <c r="I15" s="4">
        <v>50.0</v>
      </c>
      <c r="J15" s="4">
        <v>30.55</v>
      </c>
      <c r="K15" s="5">
        <f t="shared" si="1"/>
        <v>19.45</v>
      </c>
    </row>
    <row r="16">
      <c r="A16" s="3">
        <v>45684.0</v>
      </c>
      <c r="B16" s="4" t="s">
        <v>15</v>
      </c>
      <c r="D16" s="4" t="s">
        <v>20</v>
      </c>
      <c r="E16" s="4" t="s">
        <v>44</v>
      </c>
      <c r="F16" s="4" t="s">
        <v>17</v>
      </c>
      <c r="G16" s="4" t="s">
        <v>21</v>
      </c>
      <c r="H16" s="4" t="s">
        <v>45</v>
      </c>
      <c r="I16" s="4">
        <v>60.0</v>
      </c>
      <c r="J16" s="4">
        <v>32.46</v>
      </c>
      <c r="K16" s="5">
        <f t="shared" si="1"/>
        <v>27.54</v>
      </c>
    </row>
    <row r="17">
      <c r="A17" s="3">
        <v>45719.0</v>
      </c>
      <c r="B17" s="4" t="s">
        <v>35</v>
      </c>
      <c r="D17" s="4" t="s">
        <v>20</v>
      </c>
      <c r="E17" s="4">
        <v>20.0</v>
      </c>
      <c r="F17" s="4" t="s">
        <v>17</v>
      </c>
      <c r="G17" s="4" t="s">
        <v>21</v>
      </c>
      <c r="H17" s="4" t="s">
        <v>46</v>
      </c>
      <c r="I17" s="4">
        <v>40.0</v>
      </c>
      <c r="J17" s="4">
        <v>30.55</v>
      </c>
      <c r="K17" s="5">
        <f t="shared" si="1"/>
        <v>9.45</v>
      </c>
    </row>
    <row r="18">
      <c r="A18" s="3">
        <v>45684.0</v>
      </c>
      <c r="B18" s="4" t="s">
        <v>15</v>
      </c>
      <c r="D18" s="4" t="s">
        <v>26</v>
      </c>
      <c r="E18" s="4">
        <v>35.0</v>
      </c>
      <c r="F18" s="4" t="s">
        <v>17</v>
      </c>
      <c r="H18" s="4" t="s">
        <v>47</v>
      </c>
      <c r="I18" s="4">
        <v>20.0</v>
      </c>
      <c r="J18" s="4">
        <v>9.08</v>
      </c>
      <c r="K18" s="5">
        <f t="shared" si="1"/>
        <v>10.92</v>
      </c>
    </row>
    <row r="19">
      <c r="A19" s="3">
        <v>45733.0</v>
      </c>
      <c r="B19" s="4" t="s">
        <v>15</v>
      </c>
      <c r="D19" s="4" t="s">
        <v>20</v>
      </c>
      <c r="E19" s="4">
        <v>20.0</v>
      </c>
      <c r="F19" s="4" t="s">
        <v>17</v>
      </c>
      <c r="G19" s="4" t="s">
        <v>21</v>
      </c>
      <c r="H19" s="4" t="s">
        <v>48</v>
      </c>
      <c r="I19" s="4">
        <v>30.0</v>
      </c>
      <c r="J19" s="4">
        <v>30.55</v>
      </c>
      <c r="K19" s="5">
        <f t="shared" si="1"/>
        <v>-0.55</v>
      </c>
    </row>
    <row r="20">
      <c r="A20" s="3">
        <v>45684.0</v>
      </c>
      <c r="B20" s="4" t="s">
        <v>37</v>
      </c>
      <c r="D20" s="4" t="s">
        <v>20</v>
      </c>
      <c r="E20" s="4" t="s">
        <v>44</v>
      </c>
      <c r="F20" s="4" t="s">
        <v>17</v>
      </c>
      <c r="G20" s="4" t="s">
        <v>21</v>
      </c>
      <c r="H20" s="4" t="s">
        <v>49</v>
      </c>
      <c r="I20" s="4">
        <v>70.0</v>
      </c>
      <c r="J20" s="4">
        <v>32.46</v>
      </c>
      <c r="K20" s="5">
        <f t="shared" si="1"/>
        <v>37.54</v>
      </c>
    </row>
    <row r="21">
      <c r="A21" s="3">
        <v>45738.0</v>
      </c>
      <c r="B21" s="4" t="s">
        <v>25</v>
      </c>
      <c r="D21" s="4" t="s">
        <v>50</v>
      </c>
      <c r="E21" s="4" t="s">
        <v>51</v>
      </c>
      <c r="F21" s="4" t="s">
        <v>52</v>
      </c>
      <c r="I21" s="4">
        <v>12.0</v>
      </c>
      <c r="J21" s="4">
        <v>6.44</v>
      </c>
      <c r="K21" s="5">
        <f t="shared" si="1"/>
        <v>5.56</v>
      </c>
    </row>
    <row r="22">
      <c r="A22" s="3">
        <v>45740.0</v>
      </c>
      <c r="B22" s="4" t="s">
        <v>25</v>
      </c>
      <c r="D22" s="4" t="s">
        <v>53</v>
      </c>
      <c r="E22" s="4">
        <v>20.0</v>
      </c>
      <c r="I22" s="4">
        <v>22.0</v>
      </c>
      <c r="K22" s="5">
        <f t="shared" si="1"/>
        <v>22</v>
      </c>
    </row>
    <row r="23">
      <c r="A23" s="3">
        <v>45734.0</v>
      </c>
      <c r="B23" s="4" t="s">
        <v>54</v>
      </c>
      <c r="D23" s="4" t="s">
        <v>20</v>
      </c>
      <c r="E23" s="4">
        <v>20.0</v>
      </c>
      <c r="F23" s="4" t="s">
        <v>17</v>
      </c>
      <c r="H23" s="4" t="s">
        <v>55</v>
      </c>
      <c r="I23" s="4">
        <v>40.0</v>
      </c>
      <c r="J23" s="4">
        <v>30.55</v>
      </c>
      <c r="K23" s="5">
        <f t="shared" si="1"/>
        <v>9.45</v>
      </c>
    </row>
    <row r="24">
      <c r="A24" s="3">
        <v>45734.0</v>
      </c>
      <c r="B24" s="4" t="s">
        <v>56</v>
      </c>
      <c r="D24" s="4" t="s">
        <v>20</v>
      </c>
      <c r="E24" s="4">
        <v>20.0</v>
      </c>
      <c r="F24" s="4" t="s">
        <v>17</v>
      </c>
      <c r="H24" s="4" t="s">
        <v>57</v>
      </c>
      <c r="I24" s="4">
        <v>40.0</v>
      </c>
      <c r="J24" s="4">
        <v>30.55</v>
      </c>
      <c r="K24" s="5">
        <f t="shared" si="1"/>
        <v>9.45</v>
      </c>
    </row>
    <row r="25">
      <c r="A25" s="3">
        <v>45740.0</v>
      </c>
      <c r="B25" s="4" t="s">
        <v>54</v>
      </c>
      <c r="D25" s="4" t="s">
        <v>20</v>
      </c>
      <c r="E25" s="4">
        <v>20.0</v>
      </c>
      <c r="F25" s="4" t="s">
        <v>17</v>
      </c>
      <c r="H25" s="4" t="s">
        <v>55</v>
      </c>
      <c r="I25" s="4">
        <v>30.0</v>
      </c>
      <c r="J25" s="4">
        <v>30.55</v>
      </c>
      <c r="K25" s="5">
        <f t="shared" si="1"/>
        <v>-0.55</v>
      </c>
    </row>
    <row r="26">
      <c r="A26" s="3">
        <v>45722.0</v>
      </c>
      <c r="B26" s="4" t="s">
        <v>37</v>
      </c>
      <c r="D26" s="4" t="s">
        <v>58</v>
      </c>
      <c r="E26" s="4">
        <v>15.0</v>
      </c>
      <c r="I26" s="4">
        <v>20.0</v>
      </c>
      <c r="J26" s="4">
        <v>7.63</v>
      </c>
      <c r="K26" s="5">
        <f t="shared" si="1"/>
        <v>12.37</v>
      </c>
    </row>
    <row r="27">
      <c r="A27" s="3">
        <v>45722.0</v>
      </c>
      <c r="B27" s="4" t="s">
        <v>37</v>
      </c>
      <c r="D27" s="4" t="s">
        <v>59</v>
      </c>
      <c r="E27" s="4">
        <v>36.0</v>
      </c>
      <c r="I27" s="4">
        <v>40.0</v>
      </c>
      <c r="J27" s="4">
        <v>6.13</v>
      </c>
      <c r="K27" s="5">
        <f t="shared" si="1"/>
        <v>33.87</v>
      </c>
    </row>
    <row r="28">
      <c r="A28" s="3">
        <v>45731.0</v>
      </c>
      <c r="B28" s="4" t="s">
        <v>60</v>
      </c>
      <c r="D28" s="4" t="s">
        <v>50</v>
      </c>
      <c r="I28" s="4">
        <v>15.0</v>
      </c>
      <c r="J28" s="4">
        <v>6.44</v>
      </c>
      <c r="K28" s="5">
        <f t="shared" si="1"/>
        <v>8.56</v>
      </c>
    </row>
    <row r="29">
      <c r="A29" s="3">
        <v>45777.0</v>
      </c>
      <c r="B29" s="4" t="s">
        <v>61</v>
      </c>
      <c r="D29" s="4" t="s">
        <v>20</v>
      </c>
      <c r="E29" s="4" t="s">
        <v>44</v>
      </c>
      <c r="F29" s="4" t="s">
        <v>17</v>
      </c>
      <c r="G29" s="4" t="s">
        <v>21</v>
      </c>
      <c r="H29" s="4" t="s">
        <v>62</v>
      </c>
      <c r="I29" s="4">
        <v>70.0</v>
      </c>
      <c r="J29" s="4">
        <v>32.46</v>
      </c>
      <c r="K29" s="5">
        <f t="shared" si="1"/>
        <v>37.54</v>
      </c>
    </row>
    <row r="30">
      <c r="A30" s="3">
        <v>45777.0</v>
      </c>
      <c r="B30" s="4" t="s">
        <v>61</v>
      </c>
      <c r="D30" s="4" t="s">
        <v>20</v>
      </c>
      <c r="E30" s="4">
        <v>30.0</v>
      </c>
      <c r="F30" s="4" t="s">
        <v>17</v>
      </c>
      <c r="G30" s="4" t="s">
        <v>21</v>
      </c>
      <c r="H30" s="4" t="s">
        <v>62</v>
      </c>
      <c r="I30" s="4">
        <v>30.0</v>
      </c>
      <c r="J30" s="4">
        <v>40.24</v>
      </c>
      <c r="K30" s="5">
        <f t="shared" si="1"/>
        <v>-10.24</v>
      </c>
    </row>
    <row r="31">
      <c r="A31" s="3">
        <v>45722.0</v>
      </c>
      <c r="B31" s="4" t="s">
        <v>63</v>
      </c>
      <c r="D31" s="4" t="s">
        <v>20</v>
      </c>
      <c r="E31" s="4">
        <v>20.0</v>
      </c>
      <c r="F31" s="4" t="s">
        <v>13</v>
      </c>
      <c r="H31" s="4" t="s">
        <v>64</v>
      </c>
      <c r="I31" s="4">
        <v>30.0</v>
      </c>
      <c r="J31" s="4">
        <v>15.27</v>
      </c>
      <c r="K31" s="5">
        <f t="shared" si="1"/>
        <v>14.73</v>
      </c>
    </row>
    <row r="32">
      <c r="A32" s="3">
        <v>45738.0</v>
      </c>
      <c r="B32" s="4" t="s">
        <v>65</v>
      </c>
      <c r="D32" s="4" t="s">
        <v>20</v>
      </c>
      <c r="E32" s="4">
        <v>16.0</v>
      </c>
      <c r="F32" s="4" t="s">
        <v>17</v>
      </c>
      <c r="H32" s="4" t="s">
        <v>66</v>
      </c>
      <c r="I32" s="4">
        <v>40.0</v>
      </c>
      <c r="J32" s="4">
        <v>26.56</v>
      </c>
      <c r="K32" s="5">
        <f t="shared" si="1"/>
        <v>13.44</v>
      </c>
    </row>
    <row r="33">
      <c r="A33" s="3">
        <v>45732.0</v>
      </c>
      <c r="B33" s="4" t="s">
        <v>67</v>
      </c>
      <c r="D33" s="4" t="s">
        <v>20</v>
      </c>
      <c r="E33" s="4">
        <v>20.0</v>
      </c>
      <c r="F33" s="4" t="s">
        <v>13</v>
      </c>
      <c r="H33" s="4" t="s">
        <v>68</v>
      </c>
      <c r="I33" s="4">
        <v>35.0</v>
      </c>
      <c r="J33" s="4">
        <v>15.27</v>
      </c>
      <c r="K33" s="5">
        <f t="shared" si="1"/>
        <v>19.73</v>
      </c>
    </row>
    <row r="34">
      <c r="A34" s="3">
        <v>45777.0</v>
      </c>
      <c r="B34" s="4" t="s">
        <v>69</v>
      </c>
      <c r="D34" s="4" t="s">
        <v>70</v>
      </c>
      <c r="E34" s="4">
        <v>45.0</v>
      </c>
      <c r="F34" s="4" t="s">
        <v>17</v>
      </c>
      <c r="H34" s="4" t="s">
        <v>62</v>
      </c>
      <c r="I34" s="4">
        <v>40.0</v>
      </c>
      <c r="J34" s="4">
        <v>9.08</v>
      </c>
      <c r="K34" s="5">
        <f t="shared" si="1"/>
        <v>30.92</v>
      </c>
    </row>
    <row r="35">
      <c r="A35" s="3">
        <v>45731.0</v>
      </c>
      <c r="B35" s="4" t="s">
        <v>60</v>
      </c>
      <c r="D35" s="4" t="s">
        <v>20</v>
      </c>
      <c r="E35" s="4">
        <v>16.0</v>
      </c>
      <c r="F35" s="4" t="s">
        <v>17</v>
      </c>
      <c r="G35" s="4" t="s">
        <v>21</v>
      </c>
      <c r="H35" s="4" t="s">
        <v>71</v>
      </c>
      <c r="I35" s="4">
        <v>35.0</v>
      </c>
      <c r="J35" s="4">
        <v>26.56</v>
      </c>
      <c r="K35" s="5">
        <f t="shared" si="1"/>
        <v>8.44</v>
      </c>
    </row>
    <row r="36">
      <c r="A36" s="3">
        <v>45787.0</v>
      </c>
      <c r="B36" s="4" t="s">
        <v>25</v>
      </c>
      <c r="D36" s="4" t="s">
        <v>20</v>
      </c>
      <c r="E36" s="4">
        <v>16.0</v>
      </c>
      <c r="F36" s="4" t="s">
        <v>13</v>
      </c>
      <c r="G36" s="4" t="s">
        <v>21</v>
      </c>
      <c r="H36" s="4" t="s">
        <v>72</v>
      </c>
      <c r="I36" s="4">
        <v>25.0</v>
      </c>
      <c r="J36" s="4">
        <v>12.46</v>
      </c>
      <c r="K36" s="5">
        <f t="shared" si="1"/>
        <v>12.54</v>
      </c>
    </row>
    <row r="37">
      <c r="A37" s="3">
        <v>45781.0</v>
      </c>
      <c r="B37" s="4" t="s">
        <v>15</v>
      </c>
      <c r="D37" s="4" t="s">
        <v>73</v>
      </c>
      <c r="E37" s="4">
        <v>25.0</v>
      </c>
      <c r="F37" s="4" t="s">
        <v>17</v>
      </c>
      <c r="H37" s="4" t="s">
        <v>62</v>
      </c>
      <c r="I37" s="4">
        <v>20.0</v>
      </c>
      <c r="J37" s="4">
        <v>9.08</v>
      </c>
      <c r="K37" s="5">
        <f t="shared" si="1"/>
        <v>10.92</v>
      </c>
    </row>
    <row r="38">
      <c r="A38" s="3">
        <v>45779.0</v>
      </c>
      <c r="B38" s="4" t="s">
        <v>15</v>
      </c>
      <c r="D38" s="4" t="s">
        <v>20</v>
      </c>
      <c r="E38" s="4">
        <v>20.0</v>
      </c>
      <c r="F38" s="4" t="s">
        <v>13</v>
      </c>
      <c r="H38" s="4" t="s">
        <v>62</v>
      </c>
      <c r="I38" s="4">
        <v>30.0</v>
      </c>
      <c r="J38" s="4">
        <v>15.27</v>
      </c>
      <c r="K38" s="5">
        <f t="shared" si="1"/>
        <v>14.73</v>
      </c>
    </row>
    <row r="39">
      <c r="A39" s="3">
        <v>45766.0</v>
      </c>
      <c r="B39" s="4" t="s">
        <v>74</v>
      </c>
      <c r="D39" s="4" t="s">
        <v>75</v>
      </c>
      <c r="E39" s="4">
        <v>18.0</v>
      </c>
      <c r="I39" s="4">
        <v>15.0</v>
      </c>
      <c r="J39" s="4">
        <v>12.0</v>
      </c>
      <c r="K39" s="5">
        <f t="shared" si="1"/>
        <v>3</v>
      </c>
    </row>
    <row r="40">
      <c r="A40" s="3">
        <v>45766.0</v>
      </c>
      <c r="B40" s="4" t="s">
        <v>74</v>
      </c>
      <c r="D40" s="4" t="s">
        <v>76</v>
      </c>
      <c r="E40" s="4">
        <v>18.0</v>
      </c>
      <c r="I40" s="4">
        <v>15.0</v>
      </c>
      <c r="J40" s="4">
        <v>13.19</v>
      </c>
      <c r="K40" s="5">
        <f t="shared" si="1"/>
        <v>1.81</v>
      </c>
    </row>
    <row r="41">
      <c r="A41" s="3">
        <v>45758.0</v>
      </c>
      <c r="B41" s="4" t="s">
        <v>40</v>
      </c>
      <c r="D41" s="4" t="s">
        <v>77</v>
      </c>
      <c r="E41" s="4">
        <v>20.0</v>
      </c>
      <c r="I41" s="4">
        <v>18.0</v>
      </c>
      <c r="K41" s="5">
        <f t="shared" si="1"/>
        <v>18</v>
      </c>
    </row>
    <row r="42">
      <c r="A42" s="3">
        <v>45763.0</v>
      </c>
      <c r="B42" s="4" t="s">
        <v>78</v>
      </c>
      <c r="D42" s="4" t="s">
        <v>73</v>
      </c>
      <c r="E42" s="4">
        <v>40.0</v>
      </c>
      <c r="F42" s="4" t="s">
        <v>17</v>
      </c>
      <c r="H42" s="4" t="s">
        <v>79</v>
      </c>
      <c r="I42" s="4">
        <v>20.0</v>
      </c>
      <c r="J42" s="4">
        <v>9.08</v>
      </c>
      <c r="K42" s="5">
        <f t="shared" si="1"/>
        <v>10.92</v>
      </c>
    </row>
    <row r="43">
      <c r="A43" s="3">
        <v>45769.0</v>
      </c>
      <c r="B43" s="4" t="s">
        <v>80</v>
      </c>
      <c r="D43" s="4" t="s">
        <v>81</v>
      </c>
      <c r="E43" s="4">
        <v>20.0</v>
      </c>
      <c r="I43" s="4">
        <v>20.0</v>
      </c>
      <c r="K43" s="5">
        <f t="shared" si="1"/>
        <v>20</v>
      </c>
    </row>
    <row r="44">
      <c r="A44" s="3">
        <v>45779.0</v>
      </c>
      <c r="B44" s="4" t="s">
        <v>82</v>
      </c>
      <c r="D44" s="4" t="s">
        <v>73</v>
      </c>
      <c r="F44" s="4" t="s">
        <v>17</v>
      </c>
      <c r="H44" s="4" t="s">
        <v>83</v>
      </c>
      <c r="I44" s="4">
        <v>20.0</v>
      </c>
      <c r="J44" s="4">
        <v>9.08</v>
      </c>
      <c r="K44" s="5">
        <f t="shared" si="1"/>
        <v>10.92</v>
      </c>
    </row>
    <row r="45">
      <c r="A45" s="3">
        <v>45773.0</v>
      </c>
      <c r="B45" s="4" t="s">
        <v>74</v>
      </c>
      <c r="D45" s="4" t="s">
        <v>84</v>
      </c>
      <c r="E45" s="4">
        <v>20.0</v>
      </c>
      <c r="F45" s="4" t="s">
        <v>13</v>
      </c>
      <c r="I45" s="4">
        <v>40.0</v>
      </c>
      <c r="K45" s="5">
        <f t="shared" si="1"/>
        <v>40</v>
      </c>
    </row>
    <row r="46">
      <c r="A46" s="3">
        <v>45777.0</v>
      </c>
      <c r="B46" s="4" t="s">
        <v>85</v>
      </c>
      <c r="D46" s="4" t="s">
        <v>86</v>
      </c>
      <c r="E46" s="4" t="s">
        <v>87</v>
      </c>
      <c r="I46" s="4">
        <v>15.0</v>
      </c>
      <c r="K46" s="5">
        <f t="shared" si="1"/>
        <v>15</v>
      </c>
    </row>
    <row r="47">
      <c r="A47" s="3">
        <v>45791.0</v>
      </c>
      <c r="B47" s="4" t="s">
        <v>88</v>
      </c>
      <c r="D47" s="4" t="s">
        <v>89</v>
      </c>
      <c r="E47" s="4" t="s">
        <v>44</v>
      </c>
      <c r="F47" s="4" t="s">
        <v>17</v>
      </c>
      <c r="H47" s="4" t="s">
        <v>90</v>
      </c>
      <c r="I47" s="4">
        <v>70.0</v>
      </c>
      <c r="J47" s="4">
        <v>32.46</v>
      </c>
      <c r="K47" s="5">
        <f t="shared" si="1"/>
        <v>37.54</v>
      </c>
    </row>
    <row r="48">
      <c r="A48" s="3">
        <v>45808.0</v>
      </c>
      <c r="B48" s="4" t="s">
        <v>91</v>
      </c>
      <c r="D48" s="4" t="s">
        <v>92</v>
      </c>
      <c r="E48" s="4" t="s">
        <v>44</v>
      </c>
      <c r="F48" s="4" t="s">
        <v>17</v>
      </c>
      <c r="H48" s="4" t="s">
        <v>93</v>
      </c>
      <c r="I48" s="4">
        <v>60.0</v>
      </c>
      <c r="J48" s="4">
        <v>32.46</v>
      </c>
      <c r="K48" s="5">
        <f t="shared" si="1"/>
        <v>27.54</v>
      </c>
    </row>
    <row r="49">
      <c r="A49" s="3">
        <v>45786.0</v>
      </c>
      <c r="B49" s="4" t="s">
        <v>94</v>
      </c>
      <c r="D49" s="4" t="s">
        <v>73</v>
      </c>
      <c r="H49" s="4" t="s">
        <v>83</v>
      </c>
      <c r="I49" s="4">
        <v>20.0</v>
      </c>
      <c r="J49" s="4">
        <v>9.08</v>
      </c>
      <c r="K49" s="5">
        <f t="shared" si="1"/>
        <v>10.92</v>
      </c>
    </row>
    <row r="50">
      <c r="A50" s="3">
        <v>45801.0</v>
      </c>
      <c r="B50" s="4" t="s">
        <v>74</v>
      </c>
      <c r="D50" s="4" t="s">
        <v>76</v>
      </c>
      <c r="E50" s="4">
        <v>16.0</v>
      </c>
      <c r="I50" s="4">
        <v>20.0</v>
      </c>
      <c r="J50" s="4">
        <v>10.96</v>
      </c>
      <c r="K50" s="5">
        <f t="shared" si="1"/>
        <v>9.04</v>
      </c>
    </row>
    <row r="51">
      <c r="A51" s="3">
        <v>45801.0</v>
      </c>
      <c r="B51" s="4" t="s">
        <v>74</v>
      </c>
      <c r="D51" s="4" t="s">
        <v>84</v>
      </c>
      <c r="E51" s="4">
        <v>16.0</v>
      </c>
      <c r="F51" s="4" t="s">
        <v>13</v>
      </c>
      <c r="I51" s="4">
        <v>20.0</v>
      </c>
      <c r="K51" s="5">
        <f t="shared" si="1"/>
        <v>20</v>
      </c>
    </row>
    <row r="52">
      <c r="A52" s="3">
        <v>45807.0</v>
      </c>
      <c r="B52" s="4" t="s">
        <v>95</v>
      </c>
      <c r="D52" s="4" t="s">
        <v>20</v>
      </c>
      <c r="E52" s="4">
        <v>18.0</v>
      </c>
      <c r="F52" s="4" t="s">
        <v>17</v>
      </c>
      <c r="H52" s="4" t="s">
        <v>96</v>
      </c>
      <c r="I52" s="4">
        <v>46.0</v>
      </c>
      <c r="J52" s="4">
        <v>29.95</v>
      </c>
      <c r="K52" s="5">
        <f t="shared" si="1"/>
        <v>16.05</v>
      </c>
    </row>
    <row r="53">
      <c r="A53" s="3">
        <v>45779.0</v>
      </c>
      <c r="B53" s="4" t="s">
        <v>15</v>
      </c>
      <c r="D53" s="4" t="s">
        <v>20</v>
      </c>
      <c r="E53" s="4">
        <v>30.0</v>
      </c>
      <c r="F53" s="4" t="s">
        <v>13</v>
      </c>
      <c r="H53" s="4" t="s">
        <v>97</v>
      </c>
      <c r="I53" s="4">
        <v>35.0</v>
      </c>
      <c r="J53" s="4">
        <v>16.46</v>
      </c>
      <c r="K53" s="5">
        <f t="shared" si="1"/>
        <v>18.54</v>
      </c>
    </row>
    <row r="54">
      <c r="A54" s="3">
        <v>45816.0</v>
      </c>
      <c r="B54" s="4" t="s">
        <v>74</v>
      </c>
      <c r="D54" s="4" t="s">
        <v>20</v>
      </c>
      <c r="E54" s="4">
        <v>16.0</v>
      </c>
      <c r="F54" s="4" t="s">
        <v>13</v>
      </c>
      <c r="I54" s="4">
        <v>20.0</v>
      </c>
      <c r="J54" s="4">
        <v>12.46</v>
      </c>
      <c r="K54" s="5">
        <f t="shared" si="1"/>
        <v>7.54</v>
      </c>
    </row>
    <row r="55">
      <c r="A55" s="3">
        <v>45822.0</v>
      </c>
      <c r="B55" s="4" t="s">
        <v>98</v>
      </c>
      <c r="D55" s="4" t="s">
        <v>20</v>
      </c>
      <c r="E55" s="4">
        <v>18.0</v>
      </c>
      <c r="F55" s="4" t="s">
        <v>13</v>
      </c>
      <c r="I55" s="4">
        <v>35.0</v>
      </c>
      <c r="J55" s="4">
        <v>13.78</v>
      </c>
      <c r="K55" s="5">
        <f t="shared" si="1"/>
        <v>21.22</v>
      </c>
    </row>
    <row r="56">
      <c r="A56" s="3">
        <v>45792.0</v>
      </c>
      <c r="B56" s="4" t="s">
        <v>15</v>
      </c>
      <c r="D56" s="4" t="s">
        <v>20</v>
      </c>
      <c r="E56" s="4">
        <v>20.0</v>
      </c>
      <c r="F56" s="4" t="s">
        <v>13</v>
      </c>
      <c r="H56" s="4" t="s">
        <v>99</v>
      </c>
      <c r="I56" s="4">
        <v>30.0</v>
      </c>
      <c r="J56" s="4">
        <v>15.27</v>
      </c>
      <c r="K56" s="5">
        <f t="shared" si="1"/>
        <v>14.73</v>
      </c>
    </row>
    <row r="57">
      <c r="A57" s="3">
        <v>45822.0</v>
      </c>
      <c r="B57" s="4" t="s">
        <v>100</v>
      </c>
      <c r="D57" s="4" t="s">
        <v>50</v>
      </c>
      <c r="E57" s="4" t="s">
        <v>101</v>
      </c>
      <c r="I57" s="4">
        <v>20.0</v>
      </c>
      <c r="J57" s="4">
        <v>15.21</v>
      </c>
      <c r="K57" s="5">
        <f t="shared" si="1"/>
        <v>4.79</v>
      </c>
    </row>
    <row r="58">
      <c r="A58" s="3">
        <v>45821.0</v>
      </c>
      <c r="B58" s="4" t="s">
        <v>35</v>
      </c>
      <c r="D58" s="4" t="s">
        <v>20</v>
      </c>
      <c r="E58" s="4">
        <v>20.0</v>
      </c>
      <c r="F58" s="4" t="s">
        <v>17</v>
      </c>
      <c r="H58" s="4" t="s">
        <v>102</v>
      </c>
      <c r="I58" s="4">
        <v>35.0</v>
      </c>
      <c r="J58" s="4">
        <v>30.55</v>
      </c>
      <c r="K58" s="5">
        <f t="shared" si="1"/>
        <v>4.45</v>
      </c>
    </row>
    <row r="59">
      <c r="A59" s="3">
        <v>45823.0</v>
      </c>
      <c r="B59" s="4" t="s">
        <v>103</v>
      </c>
      <c r="D59" s="4" t="s">
        <v>20</v>
      </c>
      <c r="E59" s="4">
        <v>20.0</v>
      </c>
      <c r="F59" s="4" t="s">
        <v>104</v>
      </c>
      <c r="I59" s="4">
        <v>30.0</v>
      </c>
      <c r="J59" s="4"/>
    </row>
    <row r="60">
      <c r="A60" s="3">
        <v>45826.0</v>
      </c>
      <c r="B60" s="4" t="s">
        <v>105</v>
      </c>
      <c r="D60" s="4" t="s">
        <v>20</v>
      </c>
      <c r="E60" s="4">
        <v>18.0</v>
      </c>
      <c r="F60" s="4" t="s">
        <v>106</v>
      </c>
      <c r="H60" s="4" t="s">
        <v>107</v>
      </c>
      <c r="I60" s="4">
        <v>60.0</v>
      </c>
      <c r="J60" s="4"/>
    </row>
    <row r="61">
      <c r="A61" s="3">
        <v>45830.0</v>
      </c>
      <c r="B61" s="4" t="s">
        <v>108</v>
      </c>
      <c r="D61" s="4" t="s">
        <v>20</v>
      </c>
      <c r="E61" s="4">
        <v>24.0</v>
      </c>
      <c r="F61" s="4" t="s">
        <v>109</v>
      </c>
      <c r="G61" s="4" t="s">
        <v>21</v>
      </c>
      <c r="H61" s="4" t="s">
        <v>110</v>
      </c>
      <c r="I61" s="4">
        <v>65.0</v>
      </c>
      <c r="J61" s="4"/>
    </row>
    <row r="62">
      <c r="A62" s="3">
        <v>45830.0</v>
      </c>
      <c r="B62" s="4" t="s">
        <v>108</v>
      </c>
      <c r="D62" s="4" t="s">
        <v>73</v>
      </c>
      <c r="E62" s="4">
        <v>35.0</v>
      </c>
      <c r="F62" s="4" t="s">
        <v>111</v>
      </c>
      <c r="H62" s="4" t="s">
        <v>110</v>
      </c>
      <c r="I62" s="4">
        <v>20.0</v>
      </c>
      <c r="J62" s="4"/>
    </row>
    <row r="63">
      <c r="J63" s="4"/>
    </row>
    <row r="64">
      <c r="I64" s="5">
        <f>SUM(I3:I58)</f>
        <v>1933</v>
      </c>
      <c r="K64" s="5">
        <f>SUM(K3:K58)</f>
        <v>868.07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5"/>
    <col customWidth="1" min="2" max="2" width="11.38"/>
    <col customWidth="1" min="3" max="3" width="9.75"/>
    <col customWidth="1" min="4" max="5" width="7.88"/>
    <col customWidth="1" min="6" max="6" width="9.38"/>
    <col customWidth="1" min="7" max="7" width="15.38"/>
  </cols>
  <sheetData>
    <row r="1">
      <c r="A1" s="6"/>
      <c r="B1" s="7"/>
      <c r="C1" s="7"/>
      <c r="D1" s="7"/>
      <c r="E1" s="7"/>
      <c r="F1" s="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" t="s">
        <v>3</v>
      </c>
      <c r="B2" s="9"/>
      <c r="C2" s="9" t="s">
        <v>112</v>
      </c>
      <c r="D2" s="9"/>
      <c r="E2" s="9"/>
      <c r="F2" s="9"/>
      <c r="G2" s="10"/>
      <c r="H2" s="10" t="s">
        <v>113</v>
      </c>
      <c r="I2" s="11"/>
      <c r="J2" s="11"/>
      <c r="K2" s="12"/>
      <c r="L2" s="13"/>
      <c r="M2" s="14" t="s">
        <v>114</v>
      </c>
      <c r="N2" s="13"/>
      <c r="O2" s="13"/>
      <c r="P2" s="13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5"/>
      <c r="B3" s="16" t="s">
        <v>115</v>
      </c>
      <c r="C3" s="16" t="s">
        <v>116</v>
      </c>
      <c r="D3" s="16" t="s">
        <v>117</v>
      </c>
      <c r="E3" s="16" t="s">
        <v>118</v>
      </c>
      <c r="F3" s="16" t="s">
        <v>119</v>
      </c>
      <c r="G3" s="17" t="s">
        <v>115</v>
      </c>
      <c r="H3" s="17" t="s">
        <v>120</v>
      </c>
      <c r="I3" s="17" t="s">
        <v>117</v>
      </c>
      <c r="J3" s="17" t="s">
        <v>121</v>
      </c>
      <c r="K3" s="18" t="s">
        <v>122</v>
      </c>
      <c r="L3" s="19">
        <v>16.0</v>
      </c>
      <c r="M3" s="19">
        <v>18.0</v>
      </c>
      <c r="N3" s="19">
        <v>20.0</v>
      </c>
      <c r="O3" s="19">
        <v>24.0</v>
      </c>
      <c r="P3" s="19" t="s">
        <v>119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8" t="s">
        <v>123</v>
      </c>
      <c r="B4" s="21">
        <f>'TEMATICA GANACHE REDONDA'!I55</f>
        <v>24.77330808</v>
      </c>
      <c r="C4" s="21">
        <f>'TEMATICA GANACHE REDONDA'!J55</f>
        <v>28.15767701</v>
      </c>
      <c r="D4" s="21">
        <f>'TEMATICA GANACHE REDONDA'!K55</f>
        <v>30.5487674</v>
      </c>
      <c r="E4" s="21">
        <f>'TEMATICA GANACHE REDONDA'!L55</f>
        <v>37.54931891</v>
      </c>
      <c r="F4" s="22"/>
      <c r="G4" s="10">
        <v>45.0</v>
      </c>
      <c r="H4" s="10">
        <v>50.0</v>
      </c>
      <c r="I4" s="10">
        <v>55.0</v>
      </c>
      <c r="J4" s="10">
        <v>60.0</v>
      </c>
      <c r="K4" s="12"/>
      <c r="L4" s="23">
        <f t="shared" ref="L4:P4" si="1">SUM(G4-B4)</f>
        <v>20.22669192</v>
      </c>
      <c r="M4" s="23">
        <f t="shared" si="1"/>
        <v>21.84232299</v>
      </c>
      <c r="N4" s="23">
        <f t="shared" si="1"/>
        <v>24.4512326</v>
      </c>
      <c r="O4" s="23">
        <f t="shared" si="1"/>
        <v>22.45068109</v>
      </c>
      <c r="P4" s="13">
        <f t="shared" si="1"/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" t="s">
        <v>124</v>
      </c>
      <c r="B5" s="21">
        <f>'TEMATICA FONDANT REDONDA'!I55</f>
        <v>26.92330808</v>
      </c>
      <c r="C5" s="21">
        <f>'TEMATICA FONDANT REDONDA'!J55</f>
        <v>31.11392701</v>
      </c>
      <c r="D5" s="21">
        <f>'TEMATICA FONDANT REDONDA'!K55</f>
        <v>34.3112674</v>
      </c>
      <c r="E5" s="21">
        <f>'TEMATICA FONDANT REDONDA'!L55</f>
        <v>42.11806891</v>
      </c>
      <c r="F5" s="22"/>
      <c r="G5" s="10">
        <v>48.0</v>
      </c>
      <c r="H5" s="10">
        <v>55.0</v>
      </c>
      <c r="I5" s="10">
        <v>60.0</v>
      </c>
      <c r="J5" s="10">
        <v>70.0</v>
      </c>
      <c r="K5" s="12"/>
      <c r="L5" s="23">
        <f t="shared" ref="L5:P5" si="2">SUM(G5-B5)</f>
        <v>21.07669192</v>
      </c>
      <c r="M5" s="23">
        <f t="shared" si="2"/>
        <v>23.88607299</v>
      </c>
      <c r="N5" s="23">
        <f t="shared" si="2"/>
        <v>25.6887326</v>
      </c>
      <c r="O5" s="23">
        <f t="shared" si="2"/>
        <v>27.88193109</v>
      </c>
      <c r="P5" s="13">
        <f t="shared" si="2"/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" t="s">
        <v>125</v>
      </c>
      <c r="B6" s="24">
        <f>'Masas basicas'!C94</f>
        <v>12.46030808</v>
      </c>
      <c r="C6" s="24">
        <f>'Masas basicas'!D94</f>
        <v>13.77610469</v>
      </c>
      <c r="D6" s="24">
        <f>'Masas basicas'!E94</f>
        <v>14.24588701</v>
      </c>
      <c r="E6" s="24">
        <f>'Masas basicas'!F94</f>
        <v>16.46126384</v>
      </c>
      <c r="F6" s="25"/>
      <c r="G6" s="10">
        <v>30.0</v>
      </c>
      <c r="H6" s="10">
        <v>35.0</v>
      </c>
      <c r="I6" s="10">
        <v>40.0</v>
      </c>
      <c r="J6" s="10">
        <v>50.0</v>
      </c>
      <c r="K6" s="12"/>
      <c r="L6" s="23">
        <f t="shared" ref="L6:P6" si="3">SUM(G6-B6)</f>
        <v>17.53969192</v>
      </c>
      <c r="M6" s="23">
        <f t="shared" si="3"/>
        <v>21.22389531</v>
      </c>
      <c r="N6" s="23">
        <f t="shared" si="3"/>
        <v>25.75411299</v>
      </c>
      <c r="O6" s="23">
        <f t="shared" si="3"/>
        <v>33.53873616</v>
      </c>
      <c r="P6" s="13">
        <f t="shared" si="3"/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" t="s">
        <v>126</v>
      </c>
      <c r="B7" s="24">
        <f>'Masas basicas'!C95</f>
        <v>13.31910808</v>
      </c>
      <c r="C7" s="24">
        <f>'Masas basicas'!D95</f>
        <v>14.35323181</v>
      </c>
      <c r="D7" s="24">
        <f>'Masas basicas'!E95</f>
        <v>15.26993701</v>
      </c>
      <c r="E7" s="24">
        <f>'Masas basicas'!F95</f>
        <v>16.46126384</v>
      </c>
      <c r="F7" s="25"/>
      <c r="G7" s="10">
        <v>30.0</v>
      </c>
      <c r="H7" s="10">
        <v>35.0</v>
      </c>
      <c r="I7" s="10">
        <v>40.0</v>
      </c>
      <c r="J7" s="10">
        <v>50.0</v>
      </c>
      <c r="K7" s="12"/>
      <c r="L7" s="23">
        <f t="shared" ref="L7:P7" si="4">SUM(G7-B7)</f>
        <v>16.68089192</v>
      </c>
      <c r="M7" s="23">
        <f t="shared" si="4"/>
        <v>20.64676819</v>
      </c>
      <c r="N7" s="23">
        <f t="shared" si="4"/>
        <v>24.73006299</v>
      </c>
      <c r="O7" s="23">
        <f t="shared" si="4"/>
        <v>33.53873616</v>
      </c>
      <c r="P7" s="13">
        <f t="shared" si="4"/>
        <v>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" t="s">
        <v>127</v>
      </c>
      <c r="B8" s="24">
        <f>'Masas basicas'!C99</f>
        <v>13.61049452</v>
      </c>
      <c r="C8" s="24">
        <f>'Masas basicas'!D99</f>
        <v>14.79542446</v>
      </c>
      <c r="D8" s="24">
        <f>'Masas basicas'!E99</f>
        <v>15.58571469</v>
      </c>
      <c r="E8" s="24">
        <f>'Masas basicas'!F99</f>
        <v>17.99073277</v>
      </c>
      <c r="F8" s="25"/>
      <c r="G8" s="10">
        <v>30.0</v>
      </c>
      <c r="H8" s="10">
        <v>35.0</v>
      </c>
      <c r="I8" s="10">
        <v>40.0</v>
      </c>
      <c r="J8" s="10">
        <v>50.0</v>
      </c>
      <c r="K8" s="12"/>
      <c r="L8" s="23">
        <f t="shared" ref="L8:P8" si="5">SUM(G8-B8)</f>
        <v>16.38950548</v>
      </c>
      <c r="M8" s="23">
        <f t="shared" si="5"/>
        <v>20.20457554</v>
      </c>
      <c r="N8" s="23">
        <f t="shared" si="5"/>
        <v>24.41428531</v>
      </c>
      <c r="O8" s="23">
        <f t="shared" si="5"/>
        <v>32.00926723</v>
      </c>
      <c r="P8" s="13">
        <f t="shared" si="5"/>
        <v>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" t="s">
        <v>128</v>
      </c>
      <c r="B9" s="24">
        <f>'Masas basicas'!C100</f>
        <v>11.71636228</v>
      </c>
      <c r="C9" s="24">
        <f>'Masas basicas'!D100</f>
        <v>12.61499222</v>
      </c>
      <c r="D9" s="24">
        <f>'Masas basicas'!E100</f>
        <v>15.12971469</v>
      </c>
      <c r="E9" s="24">
        <f>'Masas basicas'!F100</f>
        <v>17.36773277</v>
      </c>
      <c r="F9" s="25"/>
      <c r="G9" s="10">
        <v>30.0</v>
      </c>
      <c r="H9" s="10">
        <v>35.0</v>
      </c>
      <c r="I9" s="10">
        <v>40.0</v>
      </c>
      <c r="J9" s="10">
        <v>50.0</v>
      </c>
      <c r="K9" s="12"/>
      <c r="L9" s="23">
        <f t="shared" ref="L9:P9" si="6">SUM(G9-B9)</f>
        <v>18.28363772</v>
      </c>
      <c r="M9" s="23">
        <f t="shared" si="6"/>
        <v>22.38500778</v>
      </c>
      <c r="N9" s="23">
        <f t="shared" si="6"/>
        <v>24.87028531</v>
      </c>
      <c r="O9" s="23">
        <f t="shared" si="6"/>
        <v>32.63226723</v>
      </c>
      <c r="P9" s="13">
        <f t="shared" si="6"/>
        <v>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" t="s">
        <v>129</v>
      </c>
      <c r="B10" s="24">
        <f>'Masas basicas'!C101</f>
        <v>13.76149452</v>
      </c>
      <c r="C10" s="24">
        <f>'Masas basicas'!D101</f>
        <v>14.66012446</v>
      </c>
      <c r="D10" s="24">
        <f>'Masas basicas'!E101</f>
        <v>15.12971469</v>
      </c>
      <c r="E10" s="24">
        <f>'Masas basicas'!F101</f>
        <v>17.36773277</v>
      </c>
      <c r="F10" s="25"/>
      <c r="G10" s="10">
        <v>30.0</v>
      </c>
      <c r="H10" s="10">
        <v>35.0</v>
      </c>
      <c r="I10" s="10">
        <v>40.0</v>
      </c>
      <c r="J10" s="10">
        <v>50.0</v>
      </c>
      <c r="K10" s="12"/>
      <c r="L10" s="23">
        <f t="shared" ref="L10:P10" si="7">SUM(G10-B10)</f>
        <v>16.23850548</v>
      </c>
      <c r="M10" s="23">
        <f t="shared" si="7"/>
        <v>20.33987554</v>
      </c>
      <c r="N10" s="23">
        <f t="shared" si="7"/>
        <v>24.87028531</v>
      </c>
      <c r="O10" s="23">
        <f t="shared" si="7"/>
        <v>32.63226723</v>
      </c>
      <c r="P10" s="13">
        <f t="shared" si="7"/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" t="s">
        <v>130</v>
      </c>
      <c r="B11" s="24">
        <f>'Masas basicas'!C98</f>
        <v>14.61691119</v>
      </c>
      <c r="C11" s="24">
        <f>'Masas basicas'!D98</f>
        <v>15.51554113</v>
      </c>
      <c r="D11" s="24">
        <f>'Masas basicas'!E98</f>
        <v>16.65638136</v>
      </c>
      <c r="E11" s="24">
        <f>'Masas basicas'!F98</f>
        <v>20.7735661</v>
      </c>
      <c r="F11" s="25"/>
      <c r="G11" s="10">
        <v>30.0</v>
      </c>
      <c r="H11" s="10">
        <v>35.0</v>
      </c>
      <c r="I11" s="10">
        <v>40.0</v>
      </c>
      <c r="J11" s="10">
        <v>50.0</v>
      </c>
      <c r="K11" s="12"/>
      <c r="L11" s="23">
        <f t="shared" ref="L11:P11" si="8">SUM(G11-B11)</f>
        <v>15.38308881</v>
      </c>
      <c r="M11" s="23">
        <f t="shared" si="8"/>
        <v>19.48445887</v>
      </c>
      <c r="N11" s="23">
        <f t="shared" si="8"/>
        <v>23.34361864</v>
      </c>
      <c r="O11" s="23">
        <f t="shared" si="8"/>
        <v>29.2264339</v>
      </c>
      <c r="P11" s="13">
        <f t="shared" si="8"/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" t="s">
        <v>131</v>
      </c>
      <c r="B12" s="24">
        <f>'Masas basicas'!C97</f>
        <v>13.07529452</v>
      </c>
      <c r="C12" s="24">
        <f>'Masas basicas'!D97</f>
        <v>13.96900158</v>
      </c>
      <c r="D12" s="24">
        <f>'Masas basicas'!E97</f>
        <v>14.99126469</v>
      </c>
      <c r="E12" s="24">
        <f>'Masas basicas'!F97</f>
        <v>17.26559633</v>
      </c>
      <c r="F12" s="25"/>
      <c r="G12" s="10">
        <v>30.0</v>
      </c>
      <c r="H12" s="10">
        <v>35.0</v>
      </c>
      <c r="I12" s="10">
        <v>40.0</v>
      </c>
      <c r="J12" s="10">
        <v>50.0</v>
      </c>
      <c r="K12" s="12"/>
      <c r="L12" s="23">
        <f t="shared" ref="L12:P12" si="9">SUM(G12-B12)</f>
        <v>16.92470548</v>
      </c>
      <c r="M12" s="23">
        <f t="shared" si="9"/>
        <v>21.03099842</v>
      </c>
      <c r="N12" s="23">
        <f t="shared" si="9"/>
        <v>25.00873531</v>
      </c>
      <c r="O12" s="23">
        <f t="shared" si="9"/>
        <v>32.73440367</v>
      </c>
      <c r="P12" s="13">
        <f t="shared" si="9"/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" t="s">
        <v>132</v>
      </c>
      <c r="B13" s="24">
        <f>'Masas basicas'!C96</f>
        <v>12.21649452</v>
      </c>
      <c r="C13" s="24">
        <f>'Masas basicas'!D96</f>
        <v>13.39187446</v>
      </c>
      <c r="D13" s="24">
        <f>'Masas basicas'!E96</f>
        <v>13.96721469</v>
      </c>
      <c r="E13" s="24">
        <f>'Masas basicas'!F96</f>
        <v>16.14773277</v>
      </c>
      <c r="F13" s="25"/>
      <c r="G13" s="10">
        <v>30.0</v>
      </c>
      <c r="H13" s="10">
        <v>35.0</v>
      </c>
      <c r="I13" s="10">
        <v>40.0</v>
      </c>
      <c r="J13" s="10">
        <v>50.0</v>
      </c>
      <c r="K13" s="12"/>
      <c r="L13" s="23">
        <f t="shared" ref="L13:P13" si="10">SUM(G13-B13)</f>
        <v>17.78350548</v>
      </c>
      <c r="M13" s="23">
        <f t="shared" si="10"/>
        <v>21.60812554</v>
      </c>
      <c r="N13" s="23">
        <f t="shared" si="10"/>
        <v>26.03278531</v>
      </c>
      <c r="O13" s="23">
        <f t="shared" si="10"/>
        <v>33.85226723</v>
      </c>
      <c r="P13" s="13">
        <f t="shared" si="10"/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" t="s">
        <v>133</v>
      </c>
      <c r="B14" s="25">
        <f>'CARROT CAKE'!I55</f>
        <v>13.20163682</v>
      </c>
      <c r="C14" s="25">
        <f>'CARROT CAKE'!J55</f>
        <v>16.24532432</v>
      </c>
      <c r="D14" s="25">
        <f>'CARROT CAKE'!K55</f>
        <v>17.08312658</v>
      </c>
      <c r="E14" s="25">
        <f>'CARROT CAKE'!L55</f>
        <v>23.46736945</v>
      </c>
      <c r="F14" s="25"/>
      <c r="G14" s="10">
        <v>35.0</v>
      </c>
      <c r="H14" s="10">
        <v>40.0</v>
      </c>
      <c r="I14" s="10">
        <v>45.0</v>
      </c>
      <c r="J14" s="10">
        <v>50.0</v>
      </c>
      <c r="K14" s="12"/>
      <c r="L14" s="13">
        <f t="shared" ref="L14:P14" si="11">SUM(G14-B14)</f>
        <v>21.79836318</v>
      </c>
      <c r="M14" s="13">
        <f t="shared" si="11"/>
        <v>23.75467568</v>
      </c>
      <c r="N14" s="13">
        <f t="shared" si="11"/>
        <v>27.91687342</v>
      </c>
      <c r="O14" s="13">
        <f t="shared" si="11"/>
        <v>26.53263055</v>
      </c>
      <c r="P14" s="13">
        <f t="shared" si="11"/>
        <v>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" t="s">
        <v>134</v>
      </c>
      <c r="B15" s="24">
        <f>'TARTA KINDER'!I54</f>
        <v>29.17534512</v>
      </c>
      <c r="C15" s="24">
        <f>'TARTA KINDER'!J54</f>
        <v>33.07443601</v>
      </c>
      <c r="D15" s="24">
        <f>'TARTA KINDER'!K54</f>
        <v>36.30265714</v>
      </c>
      <c r="E15" s="24">
        <f>'TARTA KINDER'!L54</f>
        <v>43.19921345</v>
      </c>
      <c r="F15" s="25"/>
      <c r="G15" s="10">
        <v>35.0</v>
      </c>
      <c r="H15" s="10">
        <v>40.0</v>
      </c>
      <c r="I15" s="10">
        <v>45.0</v>
      </c>
      <c r="J15" s="10">
        <v>50.0</v>
      </c>
      <c r="K15" s="12"/>
      <c r="L15" s="23">
        <f t="shared" ref="L15:P15" si="12">SUM(G15-B15)</f>
        <v>5.824654884</v>
      </c>
      <c r="M15" s="23">
        <f t="shared" si="12"/>
        <v>6.925563986</v>
      </c>
      <c r="N15" s="23">
        <f t="shared" si="12"/>
        <v>8.697342863</v>
      </c>
      <c r="O15" s="23">
        <f t="shared" si="12"/>
        <v>6.800786554</v>
      </c>
      <c r="P15" s="13">
        <f t="shared" si="12"/>
        <v>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" t="s">
        <v>135</v>
      </c>
      <c r="B16" s="24">
        <f>'TARTA OREO'!I58</f>
        <v>21.90694444</v>
      </c>
      <c r="C16" s="24">
        <f>'TARTA OREO'!J58</f>
        <v>24.80704881</v>
      </c>
      <c r="D16" s="24">
        <f>'TARTA OREO'!K58</f>
        <v>27.0362834</v>
      </c>
      <c r="E16" s="24">
        <f>'TARTA OREO'!L58</f>
        <v>32.98542557</v>
      </c>
      <c r="F16" s="25"/>
      <c r="G16" s="10">
        <v>35.0</v>
      </c>
      <c r="H16" s="10">
        <v>40.0</v>
      </c>
      <c r="I16" s="10">
        <v>45.0</v>
      </c>
      <c r="J16" s="10">
        <v>50.0</v>
      </c>
      <c r="K16" s="12"/>
      <c r="L16" s="23">
        <f t="shared" ref="L16:P16" si="13">SUM(G16-B16)</f>
        <v>13.09305556</v>
      </c>
      <c r="M16" s="23">
        <f t="shared" si="13"/>
        <v>15.19295119</v>
      </c>
      <c r="N16" s="23">
        <f t="shared" si="13"/>
        <v>17.9637166</v>
      </c>
      <c r="O16" s="23">
        <f t="shared" si="13"/>
        <v>17.01457443</v>
      </c>
      <c r="P16" s="13">
        <f t="shared" si="13"/>
        <v>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" t="s">
        <v>136</v>
      </c>
      <c r="B17" s="24">
        <f>'SAN MARCOS'!I50</f>
        <v>12.53437475</v>
      </c>
      <c r="C17" s="24">
        <f>'SAN MARCOS'!J50</f>
        <v>15.18617136</v>
      </c>
      <c r="D17" s="24">
        <f>'SAN MARCOS'!K50</f>
        <v>19.09967701</v>
      </c>
      <c r="E17" s="24">
        <f>'SAN MARCOS'!L50</f>
        <v>26.19832051</v>
      </c>
      <c r="F17" s="25"/>
      <c r="G17" s="10">
        <v>30.0</v>
      </c>
      <c r="H17" s="10">
        <v>35.0</v>
      </c>
      <c r="I17" s="10">
        <v>40.0</v>
      </c>
      <c r="J17" s="10">
        <v>50.0</v>
      </c>
      <c r="K17" s="12"/>
      <c r="L17" s="23">
        <f t="shared" ref="L17:P17" si="14">SUM(G17-B17)</f>
        <v>17.46562525</v>
      </c>
      <c r="M17" s="23">
        <f t="shared" si="14"/>
        <v>19.81382864</v>
      </c>
      <c r="N17" s="23">
        <f t="shared" si="14"/>
        <v>20.90032299</v>
      </c>
      <c r="O17" s="23">
        <f t="shared" si="14"/>
        <v>23.80167949</v>
      </c>
      <c r="P17" s="13">
        <f t="shared" si="14"/>
        <v>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" t="s">
        <v>137</v>
      </c>
      <c r="B18" s="25"/>
      <c r="C18" s="25"/>
      <c r="D18" s="25"/>
      <c r="E18" s="25"/>
      <c r="F18" s="25"/>
      <c r="G18" s="10">
        <v>35.0</v>
      </c>
      <c r="H18" s="10">
        <v>40.0</v>
      </c>
      <c r="I18" s="10">
        <v>45.0</v>
      </c>
      <c r="J18" s="10">
        <v>50.0</v>
      </c>
      <c r="K18" s="12"/>
      <c r="L18" s="13"/>
      <c r="M18" s="13"/>
      <c r="N18" s="13"/>
      <c r="O18" s="13"/>
      <c r="P18" s="13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" t="s">
        <v>138</v>
      </c>
      <c r="B19" s="24">
        <f>CHAJA!I50</f>
        <v>15.07136119</v>
      </c>
      <c r="C19" s="24">
        <f>CHAJA!J50</f>
        <v>16.4069578</v>
      </c>
      <c r="D19" s="24">
        <f>CHAJA!K50</f>
        <v>18.47810469</v>
      </c>
      <c r="E19" s="24">
        <f>CHAJA!L50</f>
        <v>25.59972277</v>
      </c>
      <c r="F19" s="25"/>
      <c r="G19" s="10">
        <v>35.0</v>
      </c>
      <c r="H19" s="10">
        <v>40.0</v>
      </c>
      <c r="I19" s="10">
        <v>45.0</v>
      </c>
      <c r="J19" s="10">
        <v>55.0</v>
      </c>
      <c r="K19" s="12"/>
      <c r="L19" s="23">
        <f t="shared" ref="L19:P19" si="15">SUM(G19-B19)</f>
        <v>19.92863881</v>
      </c>
      <c r="M19" s="23">
        <f t="shared" si="15"/>
        <v>23.5930422</v>
      </c>
      <c r="N19" s="23">
        <f t="shared" si="15"/>
        <v>26.52189531</v>
      </c>
      <c r="O19" s="23">
        <f t="shared" si="15"/>
        <v>29.40027723</v>
      </c>
      <c r="P19" s="13">
        <f t="shared" si="15"/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" t="s">
        <v>139</v>
      </c>
      <c r="B20" s="24">
        <f>'TARTA FRESAS CON NATA'!I51</f>
        <v>12.67899452</v>
      </c>
      <c r="C20" s="24">
        <f>'TARTA FRESAS CON NATA'!J51</f>
        <v>13.87012446</v>
      </c>
      <c r="D20" s="24">
        <f>'TARTA FRESAS CON NATA'!K51</f>
        <v>15.98940469</v>
      </c>
      <c r="E20" s="24">
        <f>'TARTA FRESAS CON NATA'!L51</f>
        <v>18.38408944</v>
      </c>
      <c r="F20" s="25"/>
      <c r="G20" s="10">
        <v>30.0</v>
      </c>
      <c r="H20" s="10">
        <v>35.0</v>
      </c>
      <c r="I20" s="10">
        <v>40.0</v>
      </c>
      <c r="J20" s="10">
        <v>50.0</v>
      </c>
      <c r="K20" s="12"/>
      <c r="L20" s="23">
        <f t="shared" ref="L20:P20" si="16">SUM(G20-B20)</f>
        <v>17.32100548</v>
      </c>
      <c r="M20" s="23">
        <f t="shared" si="16"/>
        <v>21.12987554</v>
      </c>
      <c r="N20" s="23">
        <f t="shared" si="16"/>
        <v>24.01059531</v>
      </c>
      <c r="O20" s="23">
        <f t="shared" si="16"/>
        <v>31.61591056</v>
      </c>
      <c r="P20" s="13">
        <f t="shared" si="16"/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" t="s">
        <v>140</v>
      </c>
      <c r="B21" s="24">
        <f>'TARTA FULL CHOCOLATE'!I56</f>
        <v>20.65767719</v>
      </c>
      <c r="C21" s="24">
        <f>'TARTA FULL CHOCOLATE'!J56</f>
        <v>25.60593266</v>
      </c>
      <c r="D21" s="24">
        <f>'TARTA FULL CHOCOLATE'!K56</f>
        <v>30.13590959</v>
      </c>
      <c r="E21" s="24">
        <f>'TARTA FULL CHOCOLATE'!L56</f>
        <v>33.37361505</v>
      </c>
      <c r="F21" s="25"/>
      <c r="G21" s="10">
        <v>35.0</v>
      </c>
      <c r="H21" s="10">
        <v>40.0</v>
      </c>
      <c r="I21" s="10">
        <v>45.0</v>
      </c>
      <c r="J21" s="10">
        <v>60.0</v>
      </c>
      <c r="K21" s="12"/>
      <c r="L21" s="23">
        <f t="shared" ref="L21:P21" si="17">SUM(G21-B21)</f>
        <v>14.34232281</v>
      </c>
      <c r="M21" s="23">
        <f t="shared" si="17"/>
        <v>14.39406734</v>
      </c>
      <c r="N21" s="23">
        <f t="shared" si="17"/>
        <v>14.86409041</v>
      </c>
      <c r="O21" s="23">
        <f t="shared" si="17"/>
        <v>26.62638495</v>
      </c>
      <c r="P21" s="13">
        <f t="shared" si="17"/>
        <v>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" t="s">
        <v>141</v>
      </c>
      <c r="B22" s="25"/>
      <c r="C22" s="25"/>
      <c r="D22" s="25"/>
      <c r="E22" s="25"/>
      <c r="F22" s="25">
        <f>'PASTAS DE TE'!G14</f>
        <v>8.947395556</v>
      </c>
      <c r="G22" s="11"/>
      <c r="H22" s="11"/>
      <c r="I22" s="11"/>
      <c r="J22" s="11"/>
      <c r="K22" s="26">
        <v>14.0</v>
      </c>
      <c r="L22" s="13">
        <f t="shared" ref="L22:P22" si="18">SUM(G22-B22)</f>
        <v>0</v>
      </c>
      <c r="M22" s="13">
        <f t="shared" si="18"/>
        <v>0</v>
      </c>
      <c r="N22" s="13">
        <f t="shared" si="18"/>
        <v>0</v>
      </c>
      <c r="O22" s="13">
        <f t="shared" si="18"/>
        <v>0</v>
      </c>
      <c r="P22" s="13">
        <f t="shared" si="18"/>
        <v>5.052604444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" t="s">
        <v>142</v>
      </c>
      <c r="B23" s="25"/>
      <c r="C23" s="25"/>
      <c r="D23" s="25"/>
      <c r="E23" s="25"/>
      <c r="F23" s="25">
        <f>'PASTAS DE TE'!G18</f>
        <v>14.63131778</v>
      </c>
      <c r="G23" s="11"/>
      <c r="H23" s="11"/>
      <c r="I23" s="11"/>
      <c r="J23" s="11"/>
      <c r="K23" s="26">
        <v>20.0</v>
      </c>
      <c r="L23" s="13">
        <f t="shared" ref="L23:P23" si="19">SUM(G23-B23)</f>
        <v>0</v>
      </c>
      <c r="M23" s="13">
        <f t="shared" si="19"/>
        <v>0</v>
      </c>
      <c r="N23" s="13">
        <f t="shared" si="19"/>
        <v>0</v>
      </c>
      <c r="O23" s="13">
        <f t="shared" si="19"/>
        <v>0</v>
      </c>
      <c r="P23" s="13">
        <f t="shared" si="19"/>
        <v>5.368682222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" t="s">
        <v>143</v>
      </c>
      <c r="B24" s="25"/>
      <c r="C24" s="25"/>
      <c r="D24" s="25"/>
      <c r="E24" s="25"/>
      <c r="F24" s="25">
        <f>'PASTAS DE TE'!G34</f>
        <v>12.06419556</v>
      </c>
      <c r="G24" s="11"/>
      <c r="H24" s="11"/>
      <c r="I24" s="11"/>
      <c r="J24" s="11"/>
      <c r="K24" s="26">
        <v>20.0</v>
      </c>
      <c r="L24" s="13">
        <f t="shared" ref="L24:P24" si="20">SUM(G24-B24)</f>
        <v>0</v>
      </c>
      <c r="M24" s="13">
        <f t="shared" si="20"/>
        <v>0</v>
      </c>
      <c r="N24" s="13">
        <f t="shared" si="20"/>
        <v>0</v>
      </c>
      <c r="O24" s="13">
        <f t="shared" si="20"/>
        <v>0</v>
      </c>
      <c r="P24" s="13">
        <f t="shared" si="20"/>
        <v>7.935804444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" t="s">
        <v>144</v>
      </c>
      <c r="B25" s="25"/>
      <c r="C25" s="25"/>
      <c r="D25" s="25"/>
      <c r="E25" s="25"/>
      <c r="F25" s="25">
        <f>'PASTAS DE TE'!G38</f>
        <v>17.23258444</v>
      </c>
      <c r="G25" s="11"/>
      <c r="H25" s="11"/>
      <c r="I25" s="11"/>
      <c r="J25" s="11"/>
      <c r="K25" s="26">
        <v>28.0</v>
      </c>
      <c r="L25" s="13">
        <f t="shared" ref="L25:P25" si="21">SUM(G25-B25)</f>
        <v>0</v>
      </c>
      <c r="M25" s="13">
        <f t="shared" si="21"/>
        <v>0</v>
      </c>
      <c r="N25" s="13">
        <f t="shared" si="21"/>
        <v>0</v>
      </c>
      <c r="O25" s="13">
        <f t="shared" si="21"/>
        <v>0</v>
      </c>
      <c r="P25" s="13">
        <f t="shared" si="21"/>
        <v>10.76741556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" t="s">
        <v>145</v>
      </c>
      <c r="B26" s="25"/>
      <c r="C26" s="25"/>
      <c r="D26" s="25"/>
      <c r="E26" s="25"/>
      <c r="F26" s="25">
        <f> 'PASTAS DE TE'!J54</f>
        <v>17.74811778</v>
      </c>
      <c r="G26" s="11"/>
      <c r="H26" s="11"/>
      <c r="I26" s="11"/>
      <c r="J26" s="11"/>
      <c r="K26" s="26">
        <v>23.0</v>
      </c>
      <c r="L26" s="13">
        <f t="shared" ref="L26:P26" si="22">SUM(G26-B26)</f>
        <v>0</v>
      </c>
      <c r="M26" s="13">
        <f t="shared" si="22"/>
        <v>0</v>
      </c>
      <c r="N26" s="13">
        <f t="shared" si="22"/>
        <v>0</v>
      </c>
      <c r="O26" s="13">
        <f t="shared" si="22"/>
        <v>0</v>
      </c>
      <c r="P26" s="13">
        <f t="shared" si="22"/>
        <v>5.251882222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" t="s">
        <v>146</v>
      </c>
      <c r="B27" s="25"/>
      <c r="C27" s="25"/>
      <c r="D27" s="25"/>
      <c r="E27" s="25"/>
      <c r="F27" s="25">
        <f>'PASTAS DE TE'!J55</f>
        <v>23.43204</v>
      </c>
      <c r="G27" s="11"/>
      <c r="H27" s="11"/>
      <c r="I27" s="11"/>
      <c r="J27" s="11"/>
      <c r="K27" s="26">
        <v>30.0</v>
      </c>
      <c r="L27" s="13">
        <f t="shared" ref="L27:P27" si="23">SUM(G27-B27)</f>
        <v>0</v>
      </c>
      <c r="M27" s="13">
        <f t="shared" si="23"/>
        <v>0</v>
      </c>
      <c r="N27" s="13">
        <f t="shared" si="23"/>
        <v>0</v>
      </c>
      <c r="O27" s="13">
        <f t="shared" si="23"/>
        <v>0</v>
      </c>
      <c r="P27" s="13">
        <f t="shared" si="23"/>
        <v>6.56796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" t="s">
        <v>147</v>
      </c>
      <c r="B28" s="25"/>
      <c r="C28" s="25"/>
      <c r="D28" s="25"/>
      <c r="E28" s="25"/>
      <c r="F28" s="25">
        <f>'GALLETAS BASE'!G47</f>
        <v>9.536441587</v>
      </c>
      <c r="G28" s="10">
        <v>25.0</v>
      </c>
      <c r="H28" s="11"/>
      <c r="I28" s="11"/>
      <c r="J28" s="11"/>
      <c r="K28" s="12"/>
      <c r="L28" s="13">
        <f t="shared" ref="L28:P28" si="24">SUM(G28-B28)</f>
        <v>25</v>
      </c>
      <c r="M28" s="13">
        <f t="shared" si="24"/>
        <v>0</v>
      </c>
      <c r="N28" s="13">
        <f t="shared" si="24"/>
        <v>0</v>
      </c>
      <c r="O28" s="13">
        <f t="shared" si="24"/>
        <v>0</v>
      </c>
      <c r="P28" s="13">
        <f t="shared" si="24"/>
        <v>-9.536441587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" t="s">
        <v>148</v>
      </c>
      <c r="B29" s="25"/>
      <c r="C29" s="25"/>
      <c r="D29" s="25"/>
      <c r="E29" s="25"/>
      <c r="F29" s="25">
        <f>'GALLETAS BASE'!G47</f>
        <v>9.536441587</v>
      </c>
      <c r="G29" s="10">
        <v>30.0</v>
      </c>
      <c r="H29" s="11"/>
      <c r="I29" s="11"/>
      <c r="J29" s="11"/>
      <c r="K29" s="12"/>
      <c r="L29" s="13">
        <f t="shared" ref="L29:P29" si="25">SUM(G29-B29)</f>
        <v>30</v>
      </c>
      <c r="M29" s="13">
        <f t="shared" si="25"/>
        <v>0</v>
      </c>
      <c r="N29" s="13">
        <f t="shared" si="25"/>
        <v>0</v>
      </c>
      <c r="O29" s="13">
        <f t="shared" si="25"/>
        <v>0</v>
      </c>
      <c r="P29" s="13">
        <f t="shared" si="25"/>
        <v>-9.536441587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" t="s">
        <v>149</v>
      </c>
      <c r="B30" s="25"/>
      <c r="C30" s="25"/>
      <c r="D30" s="25"/>
      <c r="E30" s="25"/>
      <c r="F30" s="25">
        <f>'GALLETAS BASE'!G47</f>
        <v>9.536441587</v>
      </c>
      <c r="G30" s="10">
        <v>30.0</v>
      </c>
      <c r="H30" s="11"/>
      <c r="I30" s="11"/>
      <c r="J30" s="11"/>
      <c r="K30" s="12"/>
      <c r="L30" s="13">
        <f t="shared" ref="L30:P30" si="26">SUM(G30-B30)</f>
        <v>30</v>
      </c>
      <c r="M30" s="13">
        <f t="shared" si="26"/>
        <v>0</v>
      </c>
      <c r="N30" s="13">
        <f t="shared" si="26"/>
        <v>0</v>
      </c>
      <c r="O30" s="13">
        <f t="shared" si="26"/>
        <v>0</v>
      </c>
      <c r="P30" s="13">
        <f t="shared" si="26"/>
        <v>-9.536441587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" t="s">
        <v>150</v>
      </c>
      <c r="B31" s="25"/>
      <c r="C31" s="25"/>
      <c r="D31" s="25"/>
      <c r="E31" s="25"/>
      <c r="F31" s="25">
        <f>'GALLETAS BASE'!G47</f>
        <v>9.536441587</v>
      </c>
      <c r="G31" s="10">
        <v>30.0</v>
      </c>
      <c r="H31" s="11"/>
      <c r="I31" s="11"/>
      <c r="J31" s="11"/>
      <c r="K31" s="12"/>
      <c r="L31" s="13">
        <f t="shared" ref="L31:P31" si="27">SUM(G31-B31)</f>
        <v>30</v>
      </c>
      <c r="M31" s="13">
        <f t="shared" si="27"/>
        <v>0</v>
      </c>
      <c r="N31" s="13">
        <f t="shared" si="27"/>
        <v>0</v>
      </c>
      <c r="O31" s="13">
        <f t="shared" si="27"/>
        <v>0</v>
      </c>
      <c r="P31" s="13">
        <f t="shared" si="27"/>
        <v>-9.536441587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" t="s">
        <v>151</v>
      </c>
      <c r="B32" s="25"/>
      <c r="C32" s="25"/>
      <c r="D32" s="25"/>
      <c r="E32" s="25"/>
      <c r="F32" s="25">
        <f>'RAMO DE FLORES'!G47</f>
        <v>8.334508571</v>
      </c>
      <c r="G32" s="10">
        <v>20.0</v>
      </c>
      <c r="H32" s="11"/>
      <c r="I32" s="11"/>
      <c r="J32" s="11"/>
      <c r="K32" s="12"/>
      <c r="L32" s="13">
        <f t="shared" ref="L32:P32" si="28">SUM(G32-B32)</f>
        <v>20</v>
      </c>
      <c r="M32" s="13">
        <f t="shared" si="28"/>
        <v>0</v>
      </c>
      <c r="N32" s="13">
        <f t="shared" si="28"/>
        <v>0</v>
      </c>
      <c r="O32" s="13">
        <f t="shared" si="28"/>
        <v>0</v>
      </c>
      <c r="P32" s="13">
        <f t="shared" si="28"/>
        <v>-8.334508571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" t="s">
        <v>152</v>
      </c>
      <c r="B33" s="25"/>
      <c r="C33" s="25"/>
      <c r="D33" s="25"/>
      <c r="E33" s="25"/>
      <c r="F33" s="25">
        <f>'GALLETAS BASE'!G47</f>
        <v>9.536441587</v>
      </c>
      <c r="G33" s="10">
        <v>22.0</v>
      </c>
      <c r="H33" s="11"/>
      <c r="I33" s="11"/>
      <c r="J33" s="11"/>
      <c r="K33" s="12"/>
      <c r="L33" s="13">
        <f t="shared" ref="L33:P33" si="29">SUM(G33-B33)</f>
        <v>22</v>
      </c>
      <c r="M33" s="13">
        <f t="shared" si="29"/>
        <v>0</v>
      </c>
      <c r="N33" s="13">
        <f t="shared" si="29"/>
        <v>0</v>
      </c>
      <c r="O33" s="13">
        <f t="shared" si="29"/>
        <v>0</v>
      </c>
      <c r="P33" s="13">
        <f t="shared" si="29"/>
        <v>-9.536441587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" t="s">
        <v>153</v>
      </c>
      <c r="B34" s="25"/>
      <c r="C34" s="25"/>
      <c r="D34" s="25"/>
      <c r="E34" s="25"/>
      <c r="F34" s="25">
        <f>'GALLETAS BASE'!G47</f>
        <v>9.536441587</v>
      </c>
      <c r="G34" s="10">
        <v>30.0</v>
      </c>
      <c r="H34" s="11"/>
      <c r="I34" s="11"/>
      <c r="J34" s="11"/>
      <c r="K34" s="12"/>
      <c r="L34" s="13">
        <f t="shared" ref="L34:P34" si="30">SUM(G34-B34)</f>
        <v>30</v>
      </c>
      <c r="M34" s="13">
        <f t="shared" si="30"/>
        <v>0</v>
      </c>
      <c r="N34" s="13">
        <f t="shared" si="30"/>
        <v>0</v>
      </c>
      <c r="O34" s="13">
        <f t="shared" si="30"/>
        <v>0</v>
      </c>
      <c r="P34" s="13">
        <f t="shared" si="30"/>
        <v>-9.536441587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" t="s">
        <v>154</v>
      </c>
      <c r="B35" s="25"/>
      <c r="C35" s="25"/>
      <c r="D35" s="25"/>
      <c r="E35" s="25"/>
      <c r="F35" s="25">
        <f>'GALLETAS BASE'!G28</f>
        <v>8.540941587</v>
      </c>
      <c r="G35" s="10">
        <v>30.0</v>
      </c>
      <c r="H35" s="11"/>
      <c r="I35" s="11"/>
      <c r="J35" s="11"/>
      <c r="K35" s="12"/>
      <c r="L35" s="13">
        <f t="shared" ref="L35:P35" si="31">SUM(G35-B35)</f>
        <v>30</v>
      </c>
      <c r="M35" s="13">
        <f t="shared" si="31"/>
        <v>0</v>
      </c>
      <c r="N35" s="13">
        <f t="shared" si="31"/>
        <v>0</v>
      </c>
      <c r="O35" s="13">
        <f t="shared" si="31"/>
        <v>0</v>
      </c>
      <c r="P35" s="13">
        <f t="shared" si="31"/>
        <v>-8.540941587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" t="s">
        <v>155</v>
      </c>
      <c r="B36" s="25"/>
      <c r="C36" s="25"/>
      <c r="D36" s="25"/>
      <c r="E36" s="25"/>
      <c r="F36" s="25">
        <f>'GALLETAS BASE'!G28</f>
        <v>8.540941587</v>
      </c>
      <c r="G36" s="10">
        <v>35.0</v>
      </c>
      <c r="H36" s="11"/>
      <c r="I36" s="11"/>
      <c r="J36" s="11"/>
      <c r="K36" s="12"/>
      <c r="L36" s="13">
        <f t="shared" ref="L36:P36" si="32">SUM(G36-B36)</f>
        <v>35</v>
      </c>
      <c r="M36" s="13">
        <f t="shared" si="32"/>
        <v>0</v>
      </c>
      <c r="N36" s="13">
        <f t="shared" si="32"/>
        <v>0</v>
      </c>
      <c r="O36" s="13">
        <f t="shared" si="32"/>
        <v>0</v>
      </c>
      <c r="P36" s="13">
        <f t="shared" si="32"/>
        <v>-8.540941587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8" t="s">
        <v>156</v>
      </c>
      <c r="B37" s="25"/>
      <c r="C37" s="25"/>
      <c r="D37" s="25"/>
      <c r="E37" s="25"/>
      <c r="F37" s="25"/>
      <c r="G37" s="10">
        <v>20.0</v>
      </c>
      <c r="H37" s="11"/>
      <c r="I37" s="11"/>
      <c r="J37" s="11"/>
      <c r="K37" s="12"/>
      <c r="L37" s="13">
        <f t="shared" ref="L37:P37" si="33">SUM(G37-B37)</f>
        <v>20</v>
      </c>
      <c r="M37" s="13">
        <f t="shared" si="33"/>
        <v>0</v>
      </c>
      <c r="N37" s="13">
        <f t="shared" si="33"/>
        <v>0</v>
      </c>
      <c r="O37" s="13">
        <f t="shared" si="33"/>
        <v>0</v>
      </c>
      <c r="P37" s="13">
        <f t="shared" si="33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8" t="s">
        <v>157</v>
      </c>
      <c r="B38" s="25"/>
      <c r="C38" s="25"/>
      <c r="D38" s="25"/>
      <c r="E38" s="25"/>
      <c r="F38" s="25"/>
      <c r="G38" s="10">
        <v>30.0</v>
      </c>
      <c r="H38" s="11"/>
      <c r="I38" s="11"/>
      <c r="J38" s="11"/>
      <c r="K38" s="12"/>
      <c r="L38" s="13">
        <f t="shared" ref="L38:P38" si="34">SUM(G38-B38)</f>
        <v>30</v>
      </c>
      <c r="M38" s="13">
        <f t="shared" si="34"/>
        <v>0</v>
      </c>
      <c r="N38" s="13">
        <f t="shared" si="34"/>
        <v>0</v>
      </c>
      <c r="O38" s="13">
        <f t="shared" si="34"/>
        <v>0</v>
      </c>
      <c r="P38" s="13">
        <f t="shared" si="34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8" t="s">
        <v>158</v>
      </c>
      <c r="B39" s="25"/>
      <c r="C39" s="25"/>
      <c r="D39" s="25"/>
      <c r="E39" s="25"/>
      <c r="F39" s="25">
        <f>'CRUMBLE COOKIES'!K11</f>
        <v>16.67894</v>
      </c>
      <c r="G39" s="10">
        <v>20.0</v>
      </c>
      <c r="H39" s="11"/>
      <c r="I39" s="11"/>
      <c r="J39" s="11"/>
      <c r="K39" s="26">
        <v>20.0</v>
      </c>
      <c r="L39" s="13">
        <f t="shared" ref="L39:P39" si="35">SUM(G39-B39)</f>
        <v>20</v>
      </c>
      <c r="M39" s="13">
        <f t="shared" si="35"/>
        <v>0</v>
      </c>
      <c r="N39" s="13">
        <f t="shared" si="35"/>
        <v>0</v>
      </c>
      <c r="O39" s="13">
        <f t="shared" si="35"/>
        <v>0</v>
      </c>
      <c r="P39" s="13">
        <f t="shared" si="35"/>
        <v>3.32106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8" t="s">
        <v>159</v>
      </c>
      <c r="B40" s="25"/>
      <c r="C40" s="25"/>
      <c r="D40" s="25"/>
      <c r="E40" s="25"/>
      <c r="F40" s="25">
        <f>'CRUMBLE COOKIES'!K12</f>
        <v>9.520473333</v>
      </c>
      <c r="G40" s="10">
        <v>12.0</v>
      </c>
      <c r="H40" s="11"/>
      <c r="I40" s="11"/>
      <c r="J40" s="11"/>
      <c r="K40" s="26">
        <v>15.0</v>
      </c>
      <c r="L40" s="13">
        <f t="shared" ref="L40:P40" si="36">SUM(G40-B40)</f>
        <v>12</v>
      </c>
      <c r="M40" s="13">
        <f t="shared" si="36"/>
        <v>0</v>
      </c>
      <c r="N40" s="13">
        <f t="shared" si="36"/>
        <v>0</v>
      </c>
      <c r="O40" s="13">
        <f t="shared" si="36"/>
        <v>0</v>
      </c>
      <c r="P40" s="13">
        <f t="shared" si="36"/>
        <v>5.479526667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8" t="s">
        <v>160</v>
      </c>
      <c r="B41" s="25"/>
      <c r="C41" s="25"/>
      <c r="D41" s="25"/>
      <c r="E41" s="25"/>
      <c r="F41" s="25">
        <f>'CRUMBLE COOKIES'!K9</f>
        <v>16.67894</v>
      </c>
      <c r="G41" s="10">
        <v>20.0</v>
      </c>
      <c r="H41" s="11"/>
      <c r="I41" s="11"/>
      <c r="J41" s="11"/>
      <c r="K41" s="26">
        <v>22.0</v>
      </c>
      <c r="L41" s="13">
        <f t="shared" ref="L41:P41" si="37">SUM(G41-B41)</f>
        <v>20</v>
      </c>
      <c r="M41" s="13">
        <f t="shared" si="37"/>
        <v>0</v>
      </c>
      <c r="N41" s="13">
        <f t="shared" si="37"/>
        <v>0</v>
      </c>
      <c r="O41" s="13">
        <f t="shared" si="37"/>
        <v>0</v>
      </c>
      <c r="P41" s="13">
        <f t="shared" si="37"/>
        <v>5.32106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8" t="s">
        <v>161</v>
      </c>
      <c r="B42" s="25"/>
      <c r="C42" s="25"/>
      <c r="D42" s="25"/>
      <c r="E42" s="25"/>
      <c r="F42" s="25">
        <f>'CRUMBLE COOKIES'!K10</f>
        <v>9.520473333</v>
      </c>
      <c r="G42" s="10">
        <v>15.0</v>
      </c>
      <c r="H42" s="11"/>
      <c r="I42" s="11"/>
      <c r="J42" s="11"/>
      <c r="K42" s="26">
        <v>15.0</v>
      </c>
      <c r="L42" s="13">
        <f t="shared" ref="L42:P42" si="38">SUM(G42-B42)</f>
        <v>15</v>
      </c>
      <c r="M42" s="13">
        <f t="shared" si="38"/>
        <v>0</v>
      </c>
      <c r="N42" s="13">
        <f t="shared" si="38"/>
        <v>0</v>
      </c>
      <c r="O42" s="13">
        <f t="shared" si="38"/>
        <v>0</v>
      </c>
      <c r="P42" s="13">
        <f t="shared" si="38"/>
        <v>5.479526667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8" t="s">
        <v>162</v>
      </c>
      <c r="B43" s="25"/>
      <c r="C43" s="25"/>
      <c r="D43" s="25"/>
      <c r="E43" s="25"/>
      <c r="F43" s="25"/>
      <c r="G43" s="10">
        <v>15.0</v>
      </c>
      <c r="H43" s="11"/>
      <c r="I43" s="11"/>
      <c r="J43" s="11"/>
      <c r="K43" s="12"/>
      <c r="L43" s="13">
        <f t="shared" ref="L43:P43" si="39">SUM(G43-B43)</f>
        <v>15</v>
      </c>
      <c r="M43" s="13">
        <f t="shared" si="39"/>
        <v>0</v>
      </c>
      <c r="N43" s="13">
        <f t="shared" si="39"/>
        <v>0</v>
      </c>
      <c r="O43" s="13">
        <f t="shared" si="39"/>
        <v>0</v>
      </c>
      <c r="P43" s="13">
        <f t="shared" si="39"/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8" t="s">
        <v>163</v>
      </c>
      <c r="B44" s="25"/>
      <c r="C44" s="25"/>
      <c r="D44" s="25"/>
      <c r="E44" s="25"/>
      <c r="F44" s="25"/>
      <c r="G44" s="10">
        <v>22.0</v>
      </c>
      <c r="H44" s="11"/>
      <c r="I44" s="11"/>
      <c r="J44" s="11"/>
      <c r="K44" s="12"/>
      <c r="L44" s="13">
        <f t="shared" ref="L44:P44" si="40">SUM(G44-B44)</f>
        <v>22</v>
      </c>
      <c r="M44" s="13">
        <f t="shared" si="40"/>
        <v>0</v>
      </c>
      <c r="N44" s="13">
        <f t="shared" si="40"/>
        <v>0</v>
      </c>
      <c r="O44" s="13">
        <f t="shared" si="40"/>
        <v>0</v>
      </c>
      <c r="P44" s="13">
        <f t="shared" si="40"/>
        <v>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8" t="s">
        <v>164</v>
      </c>
      <c r="B45" s="25"/>
      <c r="C45" s="25"/>
      <c r="D45" s="25"/>
      <c r="E45" s="25"/>
      <c r="F45" s="25"/>
      <c r="G45" s="11"/>
      <c r="H45" s="11"/>
      <c r="I45" s="11"/>
      <c r="J45" s="11"/>
      <c r="K45" s="12"/>
      <c r="L45" s="13">
        <f t="shared" ref="L45:P45" si="41">SUM(G45-B45)</f>
        <v>0</v>
      </c>
      <c r="M45" s="13">
        <f t="shared" si="41"/>
        <v>0</v>
      </c>
      <c r="N45" s="13">
        <f t="shared" si="41"/>
        <v>0</v>
      </c>
      <c r="O45" s="13">
        <f t="shared" si="41"/>
        <v>0</v>
      </c>
      <c r="P45" s="13">
        <f t="shared" si="41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8" t="s">
        <v>165</v>
      </c>
      <c r="B46" s="25">
        <f>CHEESECAKE!H26</f>
        <v>10.96913202</v>
      </c>
      <c r="C46" s="25">
        <f>CHEESECAKE!I26</f>
        <v>13.19454358</v>
      </c>
      <c r="D46" s="25">
        <f>CHEESECAKE!J26</f>
        <v>17.78561582</v>
      </c>
      <c r="E46" s="25">
        <f>CHEESECAKE!K26</f>
        <v>18.03043895</v>
      </c>
      <c r="F46" s="25"/>
      <c r="G46" s="10">
        <v>18.0</v>
      </c>
      <c r="H46" s="10">
        <v>22.0</v>
      </c>
      <c r="I46" s="10">
        <v>28.0</v>
      </c>
      <c r="J46" s="10">
        <v>30.0</v>
      </c>
      <c r="K46" s="12"/>
      <c r="L46" s="13">
        <f t="shared" ref="L46:P46" si="42">SUM(G46-B46)</f>
        <v>7.030867981</v>
      </c>
      <c r="M46" s="13">
        <f t="shared" si="42"/>
        <v>8.805456416</v>
      </c>
      <c r="N46" s="13">
        <f t="shared" si="42"/>
        <v>10.21438418</v>
      </c>
      <c r="O46" s="13">
        <f t="shared" si="42"/>
        <v>11.96956105</v>
      </c>
      <c r="P46" s="13">
        <f t="shared" si="42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8" t="s">
        <v>166</v>
      </c>
      <c r="B47" s="25">
        <f>CHEESECAKE!H55</f>
        <v>9.203132019</v>
      </c>
      <c r="C47" s="25">
        <f>CHEESECAKE!I55</f>
        <v>11.92854358</v>
      </c>
      <c r="D47" s="25">
        <f>CHEESECAKE!J55</f>
        <v>17.01961582</v>
      </c>
      <c r="E47" s="25">
        <f>CHEESECAKE!K55</f>
        <v>17.48443895</v>
      </c>
      <c r="F47" s="25"/>
      <c r="G47" s="10">
        <v>18.0</v>
      </c>
      <c r="H47" s="10">
        <v>22.0</v>
      </c>
      <c r="I47" s="10">
        <v>28.0</v>
      </c>
      <c r="J47" s="10">
        <v>30.0</v>
      </c>
      <c r="K47" s="12"/>
      <c r="L47" s="13">
        <f t="shared" ref="L47:P47" si="43">SUM(G47-B47)</f>
        <v>8.796867981</v>
      </c>
      <c r="M47" s="13">
        <f t="shared" si="43"/>
        <v>10.07145642</v>
      </c>
      <c r="N47" s="13">
        <f t="shared" si="43"/>
        <v>10.98038418</v>
      </c>
      <c r="O47" s="13">
        <f t="shared" si="43"/>
        <v>12.51556105</v>
      </c>
      <c r="P47" s="13">
        <f t="shared" si="43"/>
        <v>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8" t="s">
        <v>167</v>
      </c>
      <c r="B48" s="25">
        <f>CHEESECAKE!H55</f>
        <v>9.203132019</v>
      </c>
      <c r="C48" s="25">
        <f>CHEESECAKE!I55</f>
        <v>11.92854358</v>
      </c>
      <c r="D48" s="25">
        <f>CHEESECAKE!J55</f>
        <v>17.01961582</v>
      </c>
      <c r="E48" s="25">
        <f>CHEESECAKE!K55</f>
        <v>17.48443895</v>
      </c>
      <c r="F48" s="25"/>
      <c r="G48" s="10">
        <v>18.0</v>
      </c>
      <c r="H48" s="10">
        <v>22.0</v>
      </c>
      <c r="I48" s="10">
        <v>28.0</v>
      </c>
      <c r="J48" s="10">
        <v>30.0</v>
      </c>
      <c r="K48" s="12"/>
      <c r="L48" s="13">
        <f t="shared" ref="L48:P48" si="44">SUM(G48-B48)</f>
        <v>8.796867981</v>
      </c>
      <c r="M48" s="13">
        <f t="shared" si="44"/>
        <v>10.07145642</v>
      </c>
      <c r="N48" s="13">
        <f t="shared" si="44"/>
        <v>10.98038418</v>
      </c>
      <c r="O48" s="13">
        <f t="shared" si="44"/>
        <v>12.51556105</v>
      </c>
      <c r="P48" s="13">
        <f t="shared" si="44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8" t="s">
        <v>168</v>
      </c>
      <c r="B49" s="25"/>
      <c r="C49" s="25"/>
      <c r="D49" s="25"/>
      <c r="E49" s="25"/>
      <c r="F49" s="25"/>
      <c r="G49" s="11"/>
      <c r="H49" s="11"/>
      <c r="I49" s="11"/>
      <c r="J49" s="11"/>
      <c r="K49" s="12"/>
      <c r="L49" s="13">
        <f t="shared" ref="L49:P49" si="45">SUM(G49-B49)</f>
        <v>0</v>
      </c>
      <c r="M49" s="13">
        <f t="shared" si="45"/>
        <v>0</v>
      </c>
      <c r="N49" s="13">
        <f t="shared" si="45"/>
        <v>0</v>
      </c>
      <c r="O49" s="13">
        <f t="shared" si="45"/>
        <v>0</v>
      </c>
      <c r="P49" s="13">
        <f t="shared" si="45"/>
        <v>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8" t="s">
        <v>169</v>
      </c>
      <c r="B50" s="25"/>
      <c r="C50" s="25"/>
      <c r="D50" s="25"/>
      <c r="E50" s="25"/>
      <c r="F50" s="25"/>
      <c r="G50" s="11"/>
      <c r="H50" s="11"/>
      <c r="I50" s="11"/>
      <c r="J50" s="11"/>
      <c r="K50" s="12"/>
      <c r="L50" s="13">
        <f t="shared" ref="L50:P50" si="46">SUM(G50-B50)</f>
        <v>0</v>
      </c>
      <c r="M50" s="13">
        <f t="shared" si="46"/>
        <v>0</v>
      </c>
      <c r="N50" s="13">
        <f t="shared" si="46"/>
        <v>0</v>
      </c>
      <c r="O50" s="13">
        <f t="shared" si="46"/>
        <v>0</v>
      </c>
      <c r="P50" s="13">
        <f t="shared" si="46"/>
        <v>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8" t="s">
        <v>170</v>
      </c>
      <c r="B51" s="25"/>
      <c r="C51" s="25"/>
      <c r="D51" s="25">
        <f>'LEMON PIE'!J9</f>
        <v>8.770018531</v>
      </c>
      <c r="E51" s="25"/>
      <c r="F51" s="25"/>
      <c r="G51" s="11"/>
      <c r="H51" s="11"/>
      <c r="I51" s="10">
        <v>20.0</v>
      </c>
      <c r="J51" s="11"/>
      <c r="K51" s="12"/>
      <c r="L51" s="13">
        <f t="shared" ref="L51:P51" si="47">SUM(G51-B51)</f>
        <v>0</v>
      </c>
      <c r="M51" s="13">
        <f t="shared" si="47"/>
        <v>0</v>
      </c>
      <c r="N51" s="13">
        <f t="shared" si="47"/>
        <v>11.22998147</v>
      </c>
      <c r="O51" s="13">
        <f t="shared" si="47"/>
        <v>0</v>
      </c>
      <c r="P51" s="13">
        <f t="shared" si="47"/>
        <v>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8" t="s">
        <v>171</v>
      </c>
      <c r="B52" s="25"/>
      <c r="C52" s="25"/>
      <c r="D52" s="25"/>
      <c r="E52" s="25">
        <f>'LEMON PIE'!J10</f>
        <v>8.242385198</v>
      </c>
      <c r="F52" s="25"/>
      <c r="G52" s="11"/>
      <c r="H52" s="11"/>
      <c r="I52" s="11"/>
      <c r="J52" s="10">
        <v>22.0</v>
      </c>
      <c r="K52" s="12"/>
      <c r="L52" s="13">
        <f t="shared" ref="L52:P52" si="48">SUM(G52-B52)</f>
        <v>0</v>
      </c>
      <c r="M52" s="13">
        <f t="shared" si="48"/>
        <v>0</v>
      </c>
      <c r="N52" s="13">
        <f t="shared" si="48"/>
        <v>0</v>
      </c>
      <c r="O52" s="13">
        <f t="shared" si="48"/>
        <v>13.7576148</v>
      </c>
      <c r="P52" s="13">
        <f t="shared" si="48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8" t="s">
        <v>172</v>
      </c>
      <c r="B53" s="25"/>
      <c r="C53" s="25"/>
      <c r="D53" s="24">
        <f>'PASTA FROLLA'!F28</f>
        <v>14.21332486</v>
      </c>
      <c r="E53" s="25"/>
      <c r="F53" s="25"/>
      <c r="G53" s="11"/>
      <c r="H53" s="11"/>
      <c r="I53" s="10">
        <v>20.0</v>
      </c>
      <c r="J53" s="10"/>
      <c r="K53" s="26"/>
      <c r="L53" s="13">
        <f t="shared" ref="L53:P53" si="49">SUM(G53-B53)</f>
        <v>0</v>
      </c>
      <c r="M53" s="13">
        <f t="shared" si="49"/>
        <v>0</v>
      </c>
      <c r="N53" s="23">
        <f t="shared" si="49"/>
        <v>5.786675141</v>
      </c>
      <c r="O53" s="13">
        <f t="shared" si="49"/>
        <v>0</v>
      </c>
      <c r="P53" s="13">
        <f t="shared" si="49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8" t="s">
        <v>173</v>
      </c>
      <c r="B54" s="25"/>
      <c r="C54" s="25"/>
      <c r="D54" s="25"/>
      <c r="E54" s="24">
        <f>'PASTA FROLLA'!G28</f>
        <v>12.98047115</v>
      </c>
      <c r="F54" s="25"/>
      <c r="G54" s="11"/>
      <c r="H54" s="11"/>
      <c r="I54" s="11"/>
      <c r="J54" s="10">
        <v>22.0</v>
      </c>
      <c r="K54" s="12"/>
      <c r="L54" s="13">
        <f t="shared" ref="L54:P54" si="50">SUM(G54-B54)</f>
        <v>0</v>
      </c>
      <c r="M54" s="13">
        <f t="shared" si="50"/>
        <v>0</v>
      </c>
      <c r="N54" s="13">
        <f t="shared" si="50"/>
        <v>0</v>
      </c>
      <c r="O54" s="23">
        <f t="shared" si="50"/>
        <v>9.019528854</v>
      </c>
      <c r="P54" s="13">
        <f t="shared" si="50"/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8" t="s">
        <v>174</v>
      </c>
      <c r="B55" s="25"/>
      <c r="C55" s="25"/>
      <c r="D55" s="25"/>
      <c r="E55" s="25"/>
      <c r="F55" s="25"/>
      <c r="G55" s="11"/>
      <c r="H55" s="11"/>
      <c r="I55" s="11"/>
      <c r="J55" s="11"/>
      <c r="K55" s="12"/>
      <c r="L55" s="13">
        <f t="shared" ref="L55:P55" si="51">SUM(G55-B55)</f>
        <v>0</v>
      </c>
      <c r="M55" s="13">
        <f t="shared" si="51"/>
        <v>0</v>
      </c>
      <c r="N55" s="13">
        <f t="shared" si="51"/>
        <v>0</v>
      </c>
      <c r="O55" s="13">
        <f t="shared" si="51"/>
        <v>0</v>
      </c>
      <c r="P55" s="13">
        <f t="shared" si="51"/>
        <v>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8" t="s">
        <v>175</v>
      </c>
      <c r="B56" s="25">
        <f>'KEYLIME PIE'!G16</f>
        <v>15.48040506</v>
      </c>
      <c r="C56" s="25"/>
      <c r="D56" s="25"/>
      <c r="E56" s="25"/>
      <c r="F56" s="25"/>
      <c r="G56" s="11"/>
      <c r="H56" s="11"/>
      <c r="I56" s="11"/>
      <c r="J56" s="11"/>
      <c r="K56" s="12"/>
      <c r="L56" s="13">
        <f t="shared" ref="L56:P56" si="52">SUM(G56-B56)</f>
        <v>-15.48040506</v>
      </c>
      <c r="M56" s="13">
        <f t="shared" si="52"/>
        <v>0</v>
      </c>
      <c r="N56" s="13">
        <f t="shared" si="52"/>
        <v>0</v>
      </c>
      <c r="O56" s="13">
        <f t="shared" si="52"/>
        <v>0</v>
      </c>
      <c r="P56" s="13">
        <f t="shared" si="52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8" t="s">
        <v>176</v>
      </c>
      <c r="B57" s="25">
        <f>B56</f>
        <v>15.48040506</v>
      </c>
      <c r="C57" s="25"/>
      <c r="D57" s="25"/>
      <c r="E57" s="25"/>
      <c r="F57" s="25"/>
      <c r="G57" s="11"/>
      <c r="H57" s="11"/>
      <c r="I57" s="11"/>
      <c r="J57" s="11"/>
      <c r="K57" s="12"/>
      <c r="L57" s="13">
        <f t="shared" ref="L57:P57" si="53">SUM(G57-B57)</f>
        <v>-15.48040506</v>
      </c>
      <c r="M57" s="13">
        <f t="shared" si="53"/>
        <v>0</v>
      </c>
      <c r="N57" s="13">
        <f t="shared" si="53"/>
        <v>0</v>
      </c>
      <c r="O57" s="13">
        <f t="shared" si="53"/>
        <v>0</v>
      </c>
      <c r="P57" s="13">
        <f t="shared" si="53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8" t="s">
        <v>177</v>
      </c>
      <c r="B58" s="25"/>
      <c r="C58" s="25"/>
      <c r="D58" s="25"/>
      <c r="E58" s="25"/>
      <c r="F58" s="25"/>
      <c r="G58" s="11"/>
      <c r="H58" s="11"/>
      <c r="I58" s="11"/>
      <c r="J58" s="11"/>
      <c r="K58" s="12"/>
      <c r="L58" s="13">
        <f t="shared" ref="L58:P58" si="54">SUM(G58-B58)</f>
        <v>0</v>
      </c>
      <c r="M58" s="13">
        <f t="shared" si="54"/>
        <v>0</v>
      </c>
      <c r="N58" s="13">
        <f t="shared" si="54"/>
        <v>0</v>
      </c>
      <c r="O58" s="13">
        <f t="shared" si="54"/>
        <v>0</v>
      </c>
      <c r="P58" s="13">
        <f t="shared" si="54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8" t="s">
        <v>178</v>
      </c>
      <c r="B59" s="25">
        <f>BROWNIE!H8</f>
        <v>10.15447778</v>
      </c>
      <c r="C59" s="25"/>
      <c r="D59" s="25"/>
      <c r="E59" s="25"/>
      <c r="F59" s="25"/>
      <c r="G59" s="11"/>
      <c r="H59" s="11"/>
      <c r="I59" s="11"/>
      <c r="J59" s="11"/>
      <c r="K59" s="12"/>
      <c r="L59" s="13">
        <f t="shared" ref="L59:P59" si="55">SUM(G59-B59)</f>
        <v>-10.15447778</v>
      </c>
      <c r="M59" s="13">
        <f t="shared" si="55"/>
        <v>0</v>
      </c>
      <c r="N59" s="13">
        <f t="shared" si="55"/>
        <v>0</v>
      </c>
      <c r="O59" s="13">
        <f t="shared" si="55"/>
        <v>0</v>
      </c>
      <c r="P59" s="13">
        <f t="shared" si="55"/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8" t="s">
        <v>179</v>
      </c>
      <c r="B60" s="25">
        <f>'CUPCAKES RED VELVET'!D40</f>
        <v>12.75982288</v>
      </c>
      <c r="C60" s="25"/>
      <c r="D60" s="25"/>
      <c r="E60" s="25"/>
      <c r="F60" s="25"/>
      <c r="G60" s="11"/>
      <c r="H60" s="11"/>
      <c r="I60" s="11"/>
      <c r="J60" s="11"/>
      <c r="K60" s="12"/>
      <c r="L60" s="13">
        <f t="shared" ref="L60:P60" si="56">SUM(G60-B60)</f>
        <v>-12.75982288</v>
      </c>
      <c r="M60" s="13">
        <f t="shared" si="56"/>
        <v>0</v>
      </c>
      <c r="N60" s="13">
        <f t="shared" si="56"/>
        <v>0</v>
      </c>
      <c r="O60" s="13">
        <f t="shared" si="56"/>
        <v>0</v>
      </c>
      <c r="P60" s="13">
        <f t="shared" si="56"/>
        <v>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8" t="s">
        <v>180</v>
      </c>
      <c r="B61" s="25">
        <f>'CUPCAKES RED VELVET'!D41</f>
        <v>13.27986977</v>
      </c>
      <c r="C61" s="25"/>
      <c r="D61" s="25"/>
      <c r="E61" s="25"/>
      <c r="F61" s="25"/>
      <c r="G61" s="11"/>
      <c r="H61" s="11"/>
      <c r="I61" s="11"/>
      <c r="J61" s="11"/>
      <c r="K61" s="12"/>
      <c r="L61" s="13">
        <f t="shared" ref="L61:P61" si="57">SUM(G61-B61)</f>
        <v>-13.27986977</v>
      </c>
      <c r="M61" s="13">
        <f t="shared" si="57"/>
        <v>0</v>
      </c>
      <c r="N61" s="13">
        <f t="shared" si="57"/>
        <v>0</v>
      </c>
      <c r="O61" s="13">
        <f t="shared" si="57"/>
        <v>0</v>
      </c>
      <c r="P61" s="13">
        <f t="shared" si="57"/>
        <v>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8" t="s">
        <v>181</v>
      </c>
      <c r="B62" s="25">
        <f>'CUPCAKES RED VELVET'!D39</f>
        <v>17.26474576</v>
      </c>
      <c r="C62" s="25"/>
      <c r="D62" s="25"/>
      <c r="E62" s="25"/>
      <c r="F62" s="25"/>
      <c r="G62" s="11"/>
      <c r="H62" s="11"/>
      <c r="I62" s="11"/>
      <c r="J62" s="11"/>
      <c r="K62" s="12"/>
      <c r="L62" s="13">
        <f t="shared" ref="L62:P62" si="58">SUM(G62-B62)</f>
        <v>-17.26474576</v>
      </c>
      <c r="M62" s="13">
        <f t="shared" si="58"/>
        <v>0</v>
      </c>
      <c r="N62" s="13">
        <f t="shared" si="58"/>
        <v>0</v>
      </c>
      <c r="O62" s="13">
        <f t="shared" si="58"/>
        <v>0</v>
      </c>
      <c r="P62" s="13">
        <f t="shared" si="58"/>
        <v>0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8" t="s">
        <v>182</v>
      </c>
      <c r="B63" s="25">
        <f>'CUPCAKES RED VELVET'!D42</f>
        <v>18.30483955</v>
      </c>
      <c r="C63" s="25"/>
      <c r="D63" s="25"/>
      <c r="E63" s="25"/>
      <c r="F63" s="25"/>
      <c r="G63" s="11"/>
      <c r="H63" s="11"/>
      <c r="I63" s="11"/>
      <c r="J63" s="11"/>
      <c r="K63" s="12"/>
      <c r="L63" s="13">
        <f t="shared" ref="L63:P63" si="59">SUM(G63-B63)</f>
        <v>-18.30483955</v>
      </c>
      <c r="M63" s="13">
        <f t="shared" si="59"/>
        <v>0</v>
      </c>
      <c r="N63" s="13">
        <f t="shared" si="59"/>
        <v>0</v>
      </c>
      <c r="O63" s="13">
        <f t="shared" si="59"/>
        <v>0</v>
      </c>
      <c r="P63" s="13">
        <f t="shared" si="59"/>
        <v>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8" t="s">
        <v>183</v>
      </c>
      <c r="B64" s="25"/>
      <c r="C64" s="25"/>
      <c r="D64" s="25"/>
      <c r="E64" s="25"/>
      <c r="F64" s="25"/>
      <c r="G64" s="11"/>
      <c r="H64" s="11"/>
      <c r="I64" s="11"/>
      <c r="J64" s="11"/>
      <c r="K64" s="12"/>
      <c r="L64" s="13">
        <f t="shared" ref="L64:P64" si="60">SUM(G64-B64)</f>
        <v>0</v>
      </c>
      <c r="M64" s="13">
        <f t="shared" si="60"/>
        <v>0</v>
      </c>
      <c r="N64" s="13">
        <f t="shared" si="60"/>
        <v>0</v>
      </c>
      <c r="O64" s="13">
        <f t="shared" si="60"/>
        <v>0</v>
      </c>
      <c r="P64" s="13">
        <f t="shared" si="60"/>
        <v>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8" t="s">
        <v>184</v>
      </c>
      <c r="B65" s="25"/>
      <c r="C65" s="25"/>
      <c r="D65" s="25"/>
      <c r="E65" s="25"/>
      <c r="F65" s="25"/>
      <c r="G65" s="11"/>
      <c r="H65" s="11"/>
      <c r="I65" s="11"/>
      <c r="J65" s="11"/>
      <c r="K65" s="12"/>
      <c r="L65" s="13">
        <f t="shared" ref="L65:P65" si="61">SUM(G65-B65)</f>
        <v>0</v>
      </c>
      <c r="M65" s="13">
        <f t="shared" si="61"/>
        <v>0</v>
      </c>
      <c r="N65" s="13">
        <f t="shared" si="61"/>
        <v>0</v>
      </c>
      <c r="O65" s="13">
        <f t="shared" si="61"/>
        <v>0</v>
      </c>
      <c r="P65" s="13">
        <f t="shared" si="61"/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8" t="s">
        <v>185</v>
      </c>
      <c r="B66" s="25"/>
      <c r="C66" s="25"/>
      <c r="D66" s="25"/>
      <c r="E66" s="25"/>
      <c r="F66" s="25"/>
      <c r="G66" s="11"/>
      <c r="H66" s="11"/>
      <c r="I66" s="11"/>
      <c r="J66" s="11"/>
      <c r="K66" s="12"/>
      <c r="L66" s="13">
        <f t="shared" ref="L66:P66" si="62">SUM(G66-B66)</f>
        <v>0</v>
      </c>
      <c r="M66" s="13">
        <f t="shared" si="62"/>
        <v>0</v>
      </c>
      <c r="N66" s="13">
        <f t="shared" si="62"/>
        <v>0</v>
      </c>
      <c r="O66" s="13">
        <f t="shared" si="62"/>
        <v>0</v>
      </c>
      <c r="P66" s="13">
        <f t="shared" si="62"/>
        <v>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8" t="s">
        <v>186</v>
      </c>
      <c r="B67" s="25"/>
      <c r="C67" s="25"/>
      <c r="D67" s="25"/>
      <c r="E67" s="25"/>
      <c r="F67" s="25"/>
      <c r="G67" s="11"/>
      <c r="H67" s="11"/>
      <c r="I67" s="11"/>
      <c r="J67" s="11"/>
      <c r="K67" s="12"/>
      <c r="L67" s="13">
        <f t="shared" ref="L67:P67" si="63">SUM(G67-B67)</f>
        <v>0</v>
      </c>
      <c r="M67" s="13">
        <f t="shared" si="63"/>
        <v>0</v>
      </c>
      <c r="N67" s="13">
        <f t="shared" si="63"/>
        <v>0</v>
      </c>
      <c r="O67" s="13">
        <f t="shared" si="63"/>
        <v>0</v>
      </c>
      <c r="P67" s="13">
        <f t="shared" si="63"/>
        <v>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8" t="s">
        <v>187</v>
      </c>
      <c r="B68" s="25"/>
      <c r="C68" s="25"/>
      <c r="D68" s="25"/>
      <c r="E68" s="25"/>
      <c r="F68" s="25"/>
      <c r="G68" s="11"/>
      <c r="H68" s="11"/>
      <c r="I68" s="11"/>
      <c r="J68" s="11"/>
      <c r="K68" s="12"/>
      <c r="L68" s="13">
        <f t="shared" ref="L68:P68" si="64">SUM(G68-B68)</f>
        <v>0</v>
      </c>
      <c r="M68" s="13">
        <f t="shared" si="64"/>
        <v>0</v>
      </c>
      <c r="N68" s="13">
        <f t="shared" si="64"/>
        <v>0</v>
      </c>
      <c r="O68" s="13">
        <f t="shared" si="64"/>
        <v>0</v>
      </c>
      <c r="P68" s="13">
        <f t="shared" si="64"/>
        <v>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8" t="s">
        <v>188</v>
      </c>
      <c r="B69" s="25"/>
      <c r="C69" s="25"/>
      <c r="D69" s="25"/>
      <c r="E69" s="25"/>
      <c r="F69" s="25"/>
      <c r="G69" s="11"/>
      <c r="H69" s="11"/>
      <c r="I69" s="11"/>
      <c r="J69" s="11"/>
      <c r="K69" s="12"/>
      <c r="L69" s="13">
        <f t="shared" ref="L69:P69" si="65">SUM(G69-B69)</f>
        <v>0</v>
      </c>
      <c r="M69" s="13">
        <f t="shared" si="65"/>
        <v>0</v>
      </c>
      <c r="N69" s="13">
        <f t="shared" si="65"/>
        <v>0</v>
      </c>
      <c r="O69" s="13">
        <f t="shared" si="65"/>
        <v>0</v>
      </c>
      <c r="P69" s="13">
        <f t="shared" si="65"/>
        <v>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8" t="s">
        <v>189</v>
      </c>
      <c r="B70" s="25"/>
      <c r="C70" s="25"/>
      <c r="D70" s="25"/>
      <c r="E70" s="25"/>
      <c r="F70" s="25"/>
      <c r="G70" s="11"/>
      <c r="H70" s="11"/>
      <c r="I70" s="11"/>
      <c r="J70" s="11"/>
      <c r="K70" s="12"/>
      <c r="L70" s="13">
        <f t="shared" ref="L70:P70" si="66">SUM(G70-B70)</f>
        <v>0</v>
      </c>
      <c r="M70" s="13">
        <f t="shared" si="66"/>
        <v>0</v>
      </c>
      <c r="N70" s="13">
        <f t="shared" si="66"/>
        <v>0</v>
      </c>
      <c r="O70" s="13">
        <f t="shared" si="66"/>
        <v>0</v>
      </c>
      <c r="P70" s="13">
        <f t="shared" si="66"/>
        <v>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8" t="s">
        <v>190</v>
      </c>
      <c r="B71" s="25"/>
      <c r="C71" s="25"/>
      <c r="D71" s="25"/>
      <c r="E71" s="25"/>
      <c r="F71" s="25"/>
      <c r="G71" s="11"/>
      <c r="H71" s="11"/>
      <c r="I71" s="11"/>
      <c r="J71" s="11"/>
      <c r="K71" s="12"/>
      <c r="L71" s="13">
        <f t="shared" ref="L71:P71" si="67">SUM(G71-B71)</f>
        <v>0</v>
      </c>
      <c r="M71" s="13">
        <f t="shared" si="67"/>
        <v>0</v>
      </c>
      <c r="N71" s="13">
        <f t="shared" si="67"/>
        <v>0</v>
      </c>
      <c r="O71" s="13">
        <f t="shared" si="67"/>
        <v>0</v>
      </c>
      <c r="P71" s="13">
        <f t="shared" si="67"/>
        <v>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7" max="7" width="13.5"/>
  </cols>
  <sheetData>
    <row r="1">
      <c r="A1" s="27"/>
      <c r="D1" s="28"/>
      <c r="E1" s="29" t="s">
        <v>191</v>
      </c>
      <c r="F1" s="28"/>
      <c r="G1" s="27"/>
      <c r="H1" s="30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1" t="s">
        <v>192</v>
      </c>
      <c r="B2" s="32"/>
      <c r="C2" s="27"/>
      <c r="D2" s="27"/>
      <c r="E2" s="27"/>
      <c r="F2" s="27"/>
      <c r="G2" s="33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4" t="s">
        <v>193</v>
      </c>
      <c r="B3" s="34" t="s">
        <v>194</v>
      </c>
      <c r="C3" s="34" t="s">
        <v>195</v>
      </c>
      <c r="D3" s="34" t="s">
        <v>8</v>
      </c>
      <c r="E3" s="35" t="s">
        <v>196</v>
      </c>
      <c r="F3" s="30"/>
      <c r="G3" s="34" t="s">
        <v>193</v>
      </c>
      <c r="H3" s="34" t="s">
        <v>194</v>
      </c>
      <c r="I3" s="34" t="s">
        <v>195</v>
      </c>
      <c r="J3" s="34" t="s">
        <v>8</v>
      </c>
      <c r="K3" s="34" t="s">
        <v>197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6"/>
      <c r="B4" s="36"/>
      <c r="C4" s="36"/>
      <c r="D4" s="36"/>
      <c r="E4" s="36"/>
      <c r="F4" s="27"/>
      <c r="G4" s="37" t="s">
        <v>198</v>
      </c>
      <c r="H4" s="37">
        <v>1.0</v>
      </c>
      <c r="I4" s="37">
        <v>1.0</v>
      </c>
      <c r="J4" s="37">
        <v>2.2</v>
      </c>
      <c r="K4" s="38">
        <f t="shared" ref="K4:K10" si="1">H4*J4/I4</f>
        <v>2.2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8" t="s">
        <v>199</v>
      </c>
      <c r="B5" s="38">
        <v>180.0</v>
      </c>
      <c r="C5" s="39">
        <v>250.0</v>
      </c>
      <c r="D5" s="38">
        <v>2.56</v>
      </c>
      <c r="E5" s="38">
        <f t="shared" ref="E5:E18" si="2">B5*D5/C5</f>
        <v>1.8432</v>
      </c>
      <c r="F5" s="27"/>
      <c r="G5" s="40" t="s">
        <v>200</v>
      </c>
      <c r="H5" s="39">
        <v>1.0</v>
      </c>
      <c r="I5" s="40">
        <v>20.0</v>
      </c>
      <c r="J5" s="40">
        <v>1.13</v>
      </c>
      <c r="K5" s="38">
        <f t="shared" si="1"/>
        <v>0.0565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8" t="s">
        <v>201</v>
      </c>
      <c r="B6" s="38">
        <v>100.0</v>
      </c>
      <c r="C6" s="38">
        <v>1000.0</v>
      </c>
      <c r="D6" s="38">
        <v>5.0</v>
      </c>
      <c r="E6" s="38">
        <f t="shared" si="2"/>
        <v>0.5</v>
      </c>
      <c r="F6" s="27"/>
      <c r="G6" s="40" t="s">
        <v>202</v>
      </c>
      <c r="H6" s="39">
        <v>1.0</v>
      </c>
      <c r="I6" s="40">
        <v>100.0</v>
      </c>
      <c r="J6" s="40">
        <v>10.0</v>
      </c>
      <c r="K6" s="38">
        <f t="shared" si="1"/>
        <v>0.1</v>
      </c>
      <c r="L6" s="27"/>
      <c r="M6" s="33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8" t="s">
        <v>203</v>
      </c>
      <c r="B7" s="38">
        <v>2.0</v>
      </c>
      <c r="C7" s="38">
        <v>12.0</v>
      </c>
      <c r="D7" s="38">
        <v>2.5</v>
      </c>
      <c r="E7" s="38">
        <f t="shared" si="2"/>
        <v>0.4166666667</v>
      </c>
      <c r="F7" s="27"/>
      <c r="G7" s="40" t="s">
        <v>204</v>
      </c>
      <c r="H7" s="39">
        <v>30.0</v>
      </c>
      <c r="I7" s="40">
        <v>60.0</v>
      </c>
      <c r="J7" s="40">
        <v>1.0</v>
      </c>
      <c r="K7" s="38">
        <f t="shared" si="1"/>
        <v>0.5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8" t="s">
        <v>205</v>
      </c>
      <c r="B8" s="38">
        <v>250.0</v>
      </c>
      <c r="C8" s="38">
        <v>1000.0</v>
      </c>
      <c r="D8" s="38">
        <v>1.46</v>
      </c>
      <c r="E8" s="38">
        <f t="shared" si="2"/>
        <v>0.365</v>
      </c>
      <c r="F8" s="27"/>
      <c r="G8" s="40" t="s">
        <v>206</v>
      </c>
      <c r="H8" s="39">
        <v>12.0</v>
      </c>
      <c r="I8" s="40">
        <v>1000.0</v>
      </c>
      <c r="J8" s="40">
        <v>1.97</v>
      </c>
      <c r="K8" s="38">
        <f t="shared" si="1"/>
        <v>0.02364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8" t="s">
        <v>207</v>
      </c>
      <c r="B9" s="38">
        <v>10.0</v>
      </c>
      <c r="C9" s="38">
        <v>200.0</v>
      </c>
      <c r="D9" s="38">
        <v>6.9</v>
      </c>
      <c r="E9" s="38">
        <f t="shared" si="2"/>
        <v>0.345</v>
      </c>
      <c r="F9" s="27"/>
      <c r="G9" s="40" t="s">
        <v>208</v>
      </c>
      <c r="H9" s="39">
        <v>5.0</v>
      </c>
      <c r="I9" s="40">
        <v>60.0</v>
      </c>
      <c r="J9" s="40">
        <v>1.0</v>
      </c>
      <c r="K9" s="38">
        <f t="shared" si="1"/>
        <v>0.08333333333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8" t="s">
        <v>209</v>
      </c>
      <c r="B10" s="38">
        <v>10.0</v>
      </c>
      <c r="C10" s="38">
        <v>1000.0</v>
      </c>
      <c r="D10" s="38">
        <v>1.0</v>
      </c>
      <c r="E10" s="38">
        <f t="shared" si="2"/>
        <v>0.01</v>
      </c>
      <c r="F10" s="27"/>
      <c r="G10" s="40" t="s">
        <v>210</v>
      </c>
      <c r="H10" s="39">
        <v>2.0</v>
      </c>
      <c r="I10" s="40">
        <v>20.0</v>
      </c>
      <c r="J10" s="40">
        <v>3.0</v>
      </c>
      <c r="K10" s="38">
        <f t="shared" si="1"/>
        <v>0.3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8" t="s">
        <v>211</v>
      </c>
      <c r="B11" s="38">
        <v>30.0</v>
      </c>
      <c r="C11" s="38">
        <v>100.0</v>
      </c>
      <c r="D11" s="38">
        <v>1.15</v>
      </c>
      <c r="E11" s="38">
        <f t="shared" si="2"/>
        <v>0.345</v>
      </c>
      <c r="F11" s="27"/>
      <c r="G11" s="41"/>
      <c r="H11" s="41"/>
      <c r="I11" s="41"/>
      <c r="J11" s="41"/>
      <c r="K11" s="42">
        <f>SUM(K4:K10)</f>
        <v>3.263473333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43" t="s">
        <v>212</v>
      </c>
      <c r="B12" s="43">
        <v>30.0</v>
      </c>
      <c r="C12" s="43">
        <v>1000.0</v>
      </c>
      <c r="D12" s="43">
        <v>1.15</v>
      </c>
      <c r="E12" s="38">
        <f t="shared" si="2"/>
        <v>0.0345</v>
      </c>
      <c r="F12" s="27"/>
      <c r="G12" s="44" t="s">
        <v>213</v>
      </c>
      <c r="H12" s="41"/>
      <c r="I12" s="41"/>
      <c r="J12" s="45"/>
      <c r="K12" s="45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43" t="s">
        <v>214</v>
      </c>
      <c r="B13" s="36"/>
      <c r="C13" s="43">
        <v>1000.0</v>
      </c>
      <c r="D13" s="43">
        <v>19.95</v>
      </c>
      <c r="E13" s="38">
        <f t="shared" si="2"/>
        <v>0</v>
      </c>
      <c r="F13" s="27"/>
      <c r="G13" s="46" t="s">
        <v>215</v>
      </c>
      <c r="H13" s="47" t="s">
        <v>216</v>
      </c>
      <c r="I13" s="48" t="s">
        <v>217</v>
      </c>
      <c r="J13" s="49"/>
      <c r="K13" s="45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43" t="s">
        <v>218</v>
      </c>
      <c r="B14" s="36"/>
      <c r="C14" s="43">
        <v>1000.0</v>
      </c>
      <c r="D14" s="43">
        <v>15.89</v>
      </c>
      <c r="E14" s="38">
        <f t="shared" si="2"/>
        <v>0</v>
      </c>
      <c r="F14" s="27"/>
      <c r="G14" s="39">
        <f>E19+K11</f>
        <v>8.947395556</v>
      </c>
      <c r="H14" s="50">
        <v>14.0</v>
      </c>
      <c r="I14" s="51">
        <f>H14-G14</f>
        <v>5.052604444</v>
      </c>
      <c r="J14" s="41"/>
      <c r="K14" s="45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43" t="s">
        <v>219</v>
      </c>
      <c r="B15" s="36"/>
      <c r="C15" s="43">
        <v>1000.0</v>
      </c>
      <c r="D15" s="43">
        <v>17.25</v>
      </c>
      <c r="E15" s="38">
        <f t="shared" si="2"/>
        <v>0</v>
      </c>
      <c r="F15" s="27"/>
      <c r="G15" s="39"/>
      <c r="H15" s="50"/>
      <c r="I15" s="51"/>
      <c r="J15" s="41"/>
      <c r="K15" s="45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43" t="s">
        <v>220</v>
      </c>
      <c r="B16" s="43">
        <v>20.0</v>
      </c>
      <c r="C16" s="43">
        <v>40.0</v>
      </c>
      <c r="D16" s="43">
        <v>0.85</v>
      </c>
      <c r="E16" s="38">
        <f t="shared" si="2"/>
        <v>0.425</v>
      </c>
      <c r="F16" s="27"/>
      <c r="G16" s="38"/>
      <c r="H16" s="52"/>
      <c r="I16" s="53"/>
      <c r="J16" s="45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43" t="s">
        <v>221</v>
      </c>
      <c r="B17" s="43">
        <v>1.0</v>
      </c>
      <c r="C17" s="43">
        <v>1.0</v>
      </c>
      <c r="D17" s="43">
        <v>1.2</v>
      </c>
      <c r="E17" s="38">
        <f t="shared" si="2"/>
        <v>1.2</v>
      </c>
      <c r="F17" s="27"/>
      <c r="G17" s="54" t="s">
        <v>222</v>
      </c>
      <c r="H17" s="55" t="s">
        <v>223</v>
      </c>
      <c r="I17" s="56"/>
      <c r="J17" s="5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43" t="s">
        <v>224</v>
      </c>
      <c r="B18" s="43">
        <v>20.0</v>
      </c>
      <c r="C18" s="43">
        <v>450.0</v>
      </c>
      <c r="D18" s="43">
        <v>4.49</v>
      </c>
      <c r="E18" s="38">
        <f t="shared" si="2"/>
        <v>0.1995555556</v>
      </c>
      <c r="F18" s="27"/>
      <c r="G18" s="58">
        <f>(E19*2)+K11</f>
        <v>14.63131778</v>
      </c>
      <c r="H18" s="59">
        <v>20.0</v>
      </c>
      <c r="I18" s="56">
        <f>H18-G18</f>
        <v>5.368682222</v>
      </c>
      <c r="J18" s="5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60"/>
      <c r="B19" s="60"/>
      <c r="C19" s="60"/>
      <c r="D19" s="60"/>
      <c r="E19" s="61">
        <f>SUM(E5+E6+E7+E8+E9+E10+E11+E12+E13+E14+E15+E16+E17+E18)</f>
        <v>5.683922222</v>
      </c>
      <c r="F19" s="27"/>
      <c r="G19" s="62"/>
      <c r="H19" s="62"/>
      <c r="I19" s="62"/>
      <c r="J19" s="62"/>
      <c r="K19" s="62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62"/>
      <c r="H20" s="62"/>
      <c r="I20" s="62"/>
      <c r="J20" s="62"/>
      <c r="K20" s="62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63" t="s">
        <v>225</v>
      </c>
      <c r="F21" s="64" t="s">
        <v>226</v>
      </c>
      <c r="G21" s="65"/>
      <c r="H21" s="65"/>
      <c r="I21" s="65"/>
      <c r="J21" s="62"/>
      <c r="K21" s="62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63" t="s">
        <v>227</v>
      </c>
      <c r="E22" s="66"/>
      <c r="F22" s="64" t="s">
        <v>228</v>
      </c>
      <c r="G22" s="65"/>
      <c r="H22" s="65"/>
      <c r="I22" s="65"/>
      <c r="J22" s="62"/>
      <c r="K22" s="62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62"/>
      <c r="H23" s="62"/>
      <c r="I23" s="62"/>
      <c r="J23" s="62"/>
      <c r="K23" s="62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67"/>
      <c r="E24" s="67"/>
      <c r="F24" s="68"/>
      <c r="G24" s="30"/>
      <c r="H24" s="27"/>
      <c r="I24" s="27"/>
      <c r="J24" s="27"/>
      <c r="K24" s="69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70" t="s">
        <v>229</v>
      </c>
      <c r="B25" s="71"/>
      <c r="C25" s="27"/>
      <c r="D25" s="27"/>
      <c r="E25" s="27"/>
      <c r="F25" s="27"/>
      <c r="G25" s="30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34" t="s">
        <v>193</v>
      </c>
      <c r="B26" s="34" t="s">
        <v>194</v>
      </c>
      <c r="C26" s="34" t="s">
        <v>195</v>
      </c>
      <c r="D26" s="34" t="s">
        <v>8</v>
      </c>
      <c r="E26" s="34" t="s">
        <v>197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6"/>
      <c r="B27" s="36"/>
      <c r="C27" s="36"/>
      <c r="D27" s="36"/>
      <c r="E27" s="3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8" t="s">
        <v>199</v>
      </c>
      <c r="B28" s="39">
        <v>150.0</v>
      </c>
      <c r="C28" s="39">
        <v>250.0</v>
      </c>
      <c r="D28" s="38">
        <v>2.56</v>
      </c>
      <c r="E28" s="38">
        <f t="shared" ref="E28:E41" si="3">B28*D28/C28</f>
        <v>1.536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38" t="s">
        <v>201</v>
      </c>
      <c r="B29" s="38">
        <v>100.0</v>
      </c>
      <c r="C29" s="38">
        <v>1000.0</v>
      </c>
      <c r="D29" s="38">
        <v>5.0</v>
      </c>
      <c r="E29" s="38">
        <f t="shared" si="3"/>
        <v>0.5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38" t="s">
        <v>203</v>
      </c>
      <c r="B30" s="39">
        <v>1.0</v>
      </c>
      <c r="C30" s="38">
        <v>12.0</v>
      </c>
      <c r="D30" s="38">
        <v>2.5</v>
      </c>
      <c r="E30" s="38">
        <f t="shared" si="3"/>
        <v>0.2083333333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38" t="s">
        <v>205</v>
      </c>
      <c r="B31" s="38">
        <v>250.0</v>
      </c>
      <c r="C31" s="38">
        <v>1000.0</v>
      </c>
      <c r="D31" s="38">
        <v>1.46</v>
      </c>
      <c r="E31" s="38">
        <f t="shared" si="3"/>
        <v>0.365</v>
      </c>
      <c r="F31" s="27"/>
      <c r="G31" s="27"/>
      <c r="H31" s="30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8" t="s">
        <v>207</v>
      </c>
      <c r="B32" s="38">
        <v>10.0</v>
      </c>
      <c r="C32" s="38">
        <v>200.0</v>
      </c>
      <c r="D32" s="38">
        <v>6.9</v>
      </c>
      <c r="E32" s="38">
        <f t="shared" si="3"/>
        <v>0.345</v>
      </c>
      <c r="F32" s="27"/>
      <c r="G32" s="30" t="s">
        <v>230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38" t="s">
        <v>209</v>
      </c>
      <c r="B33" s="38">
        <v>10.0</v>
      </c>
      <c r="C33" s="38">
        <v>1000.0</v>
      </c>
      <c r="D33" s="38">
        <v>1.0</v>
      </c>
      <c r="E33" s="38">
        <f t="shared" si="3"/>
        <v>0.01</v>
      </c>
      <c r="F33" s="27"/>
      <c r="G33" s="46" t="s">
        <v>231</v>
      </c>
      <c r="H33" s="47" t="s">
        <v>216</v>
      </c>
      <c r="I33" s="46" t="s">
        <v>217</v>
      </c>
      <c r="J33" s="46" t="s">
        <v>232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38" t="s">
        <v>211</v>
      </c>
      <c r="B34" s="38">
        <v>30.0</v>
      </c>
      <c r="C34" s="38">
        <v>100.0</v>
      </c>
      <c r="D34" s="38">
        <v>1.15</v>
      </c>
      <c r="E34" s="38">
        <f t="shared" si="3"/>
        <v>0.345</v>
      </c>
      <c r="F34" s="27"/>
      <c r="G34" s="39">
        <f>SUM(E42+E51+K50)</f>
        <v>12.06419556</v>
      </c>
      <c r="H34" s="50">
        <v>20.0</v>
      </c>
      <c r="I34" s="39">
        <f>SUM(H34-G34)</f>
        <v>7.935804444</v>
      </c>
      <c r="J34" s="39" t="str">
        <f>K30</f>
        <v/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43" t="s">
        <v>212</v>
      </c>
      <c r="B35" s="43">
        <v>30.0</v>
      </c>
      <c r="C35" s="43">
        <v>1000.0</v>
      </c>
      <c r="D35" s="43">
        <v>1.15</v>
      </c>
      <c r="E35" s="38">
        <f t="shared" si="3"/>
        <v>0.0345</v>
      </c>
      <c r="F35" s="27"/>
      <c r="G35" s="39"/>
      <c r="H35" s="50"/>
      <c r="I35" s="39"/>
      <c r="J35" s="39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43" t="s">
        <v>214</v>
      </c>
      <c r="B36" s="36"/>
      <c r="C36" s="43">
        <v>1000.0</v>
      </c>
      <c r="D36" s="43">
        <v>19.95</v>
      </c>
      <c r="E36" s="38">
        <f t="shared" si="3"/>
        <v>0</v>
      </c>
      <c r="F36" s="27"/>
      <c r="G36" s="38"/>
      <c r="H36" s="52"/>
      <c r="I36" s="38"/>
      <c r="J36" s="38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43" t="s">
        <v>218</v>
      </c>
      <c r="B37" s="36"/>
      <c r="C37" s="43">
        <v>1000.0</v>
      </c>
      <c r="D37" s="43">
        <v>15.89</v>
      </c>
      <c r="E37" s="38">
        <f t="shared" si="3"/>
        <v>0</v>
      </c>
      <c r="F37" s="27"/>
      <c r="G37" s="54" t="s">
        <v>233</v>
      </c>
      <c r="H37" s="55" t="s">
        <v>223</v>
      </c>
      <c r="I37" s="58"/>
      <c r="J37" s="58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43" t="s">
        <v>219</v>
      </c>
      <c r="B38" s="36"/>
      <c r="C38" s="43">
        <v>1000.0</v>
      </c>
      <c r="D38" s="43">
        <v>17.25</v>
      </c>
      <c r="E38" s="38">
        <f t="shared" si="3"/>
        <v>0</v>
      </c>
      <c r="F38" s="27"/>
      <c r="G38" s="58">
        <f>(E42*2)+E51+K50</f>
        <v>17.23258444</v>
      </c>
      <c r="H38" s="59">
        <v>28.0</v>
      </c>
      <c r="I38" s="58">
        <f>H38-G38</f>
        <v>10.76741556</v>
      </c>
      <c r="J38" s="58" t="str">
        <f>K30</f>
        <v/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43" t="s">
        <v>220</v>
      </c>
      <c r="B39" s="43">
        <v>20.0</v>
      </c>
      <c r="C39" s="43">
        <v>40.0</v>
      </c>
      <c r="D39" s="43">
        <v>0.85</v>
      </c>
      <c r="E39" s="38">
        <f t="shared" si="3"/>
        <v>0.425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43" t="s">
        <v>221</v>
      </c>
      <c r="B40" s="43">
        <v>1.0</v>
      </c>
      <c r="C40" s="43">
        <v>1.0</v>
      </c>
      <c r="D40" s="43">
        <v>1.2</v>
      </c>
      <c r="E40" s="38">
        <f t="shared" si="3"/>
        <v>1.2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43" t="s">
        <v>224</v>
      </c>
      <c r="B41" s="43">
        <v>20.0</v>
      </c>
      <c r="C41" s="43">
        <v>450.0</v>
      </c>
      <c r="D41" s="43">
        <v>4.49</v>
      </c>
      <c r="E41" s="38">
        <f t="shared" si="3"/>
        <v>0.1995555556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60"/>
      <c r="B42" s="60"/>
      <c r="C42" s="60"/>
      <c r="D42" s="60"/>
      <c r="E42" s="61">
        <f>SUM(E28+E29+E30+E31+E32+E33+E34+E35+E36+E37+E38+E39+E40+E41)</f>
        <v>5.168388889</v>
      </c>
      <c r="F42" s="27"/>
      <c r="G42" s="34" t="s">
        <v>193</v>
      </c>
      <c r="H42" s="34" t="s">
        <v>194</v>
      </c>
      <c r="I42" s="34" t="s">
        <v>195</v>
      </c>
      <c r="J42" s="34" t="s">
        <v>8</v>
      </c>
      <c r="K42" s="34" t="s">
        <v>197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72"/>
      <c r="B43" s="72"/>
      <c r="C43" s="72"/>
      <c r="D43" s="72"/>
      <c r="E43" s="72"/>
      <c r="F43" s="27"/>
      <c r="G43" s="73" t="s">
        <v>198</v>
      </c>
      <c r="H43" s="37">
        <v>1.0</v>
      </c>
      <c r="I43" s="37">
        <v>1.0</v>
      </c>
      <c r="J43" s="37">
        <v>2.2</v>
      </c>
      <c r="K43" s="38">
        <f t="shared" ref="K43:K49" si="4">H43*J43/I43</f>
        <v>2.2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30" t="s">
        <v>234</v>
      </c>
      <c r="C44" s="27"/>
      <c r="D44" s="27"/>
      <c r="E44" s="27"/>
      <c r="F44" s="27"/>
      <c r="G44" s="74" t="s">
        <v>200</v>
      </c>
      <c r="H44" s="39">
        <v>1.0</v>
      </c>
      <c r="I44" s="40">
        <v>20.0</v>
      </c>
      <c r="J44" s="40">
        <v>1.13</v>
      </c>
      <c r="K44" s="38">
        <f t="shared" si="4"/>
        <v>0.0565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34" t="s">
        <v>193</v>
      </c>
      <c r="B45" s="34" t="s">
        <v>194</v>
      </c>
      <c r="C45" s="34" t="s">
        <v>195</v>
      </c>
      <c r="D45" s="34" t="s">
        <v>8</v>
      </c>
      <c r="E45" s="34" t="s">
        <v>197</v>
      </c>
      <c r="F45" s="27"/>
      <c r="G45" s="74" t="s">
        <v>202</v>
      </c>
      <c r="H45" s="39">
        <v>1.0</v>
      </c>
      <c r="I45" s="40">
        <v>100.0</v>
      </c>
      <c r="J45" s="40">
        <v>10.0</v>
      </c>
      <c r="K45" s="38">
        <f t="shared" si="4"/>
        <v>0.1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36"/>
      <c r="B46" s="36"/>
      <c r="C46" s="36"/>
      <c r="D46" s="36"/>
      <c r="E46" s="36"/>
      <c r="F46" s="27"/>
      <c r="G46" s="74" t="s">
        <v>204</v>
      </c>
      <c r="H46" s="39">
        <v>30.0</v>
      </c>
      <c r="I46" s="40">
        <v>60.0</v>
      </c>
      <c r="J46" s="40">
        <v>1.0</v>
      </c>
      <c r="K46" s="38">
        <f t="shared" si="4"/>
        <v>0.5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39" t="s">
        <v>235</v>
      </c>
      <c r="B47" s="39">
        <v>100.0</v>
      </c>
      <c r="C47" s="38">
        <v>1000.0</v>
      </c>
      <c r="D47" s="39">
        <v>4.99</v>
      </c>
      <c r="E47" s="38">
        <f t="shared" ref="E47:E50" si="5">B47*D47/C47</f>
        <v>0.499</v>
      </c>
      <c r="F47" s="27"/>
      <c r="G47" s="74" t="s">
        <v>206</v>
      </c>
      <c r="H47" s="39">
        <v>12.0</v>
      </c>
      <c r="I47" s="40">
        <v>1000.0</v>
      </c>
      <c r="J47" s="40">
        <v>1.97</v>
      </c>
      <c r="K47" s="38">
        <f t="shared" si="4"/>
        <v>0.02364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39" t="s">
        <v>211</v>
      </c>
      <c r="B48" s="39">
        <v>100.0</v>
      </c>
      <c r="C48" s="39">
        <v>100.0</v>
      </c>
      <c r="D48" s="39">
        <v>1.15</v>
      </c>
      <c r="E48" s="38">
        <f t="shared" si="5"/>
        <v>1.15</v>
      </c>
      <c r="F48" s="27"/>
      <c r="G48" s="74" t="s">
        <v>208</v>
      </c>
      <c r="H48" s="39">
        <v>5.0</v>
      </c>
      <c r="I48" s="40">
        <v>60.0</v>
      </c>
      <c r="J48" s="40">
        <v>1.0</v>
      </c>
      <c r="K48" s="38">
        <f t="shared" si="4"/>
        <v>0.08333333333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39" t="s">
        <v>236</v>
      </c>
      <c r="B49" s="39">
        <v>100.0</v>
      </c>
      <c r="C49" s="39">
        <v>100.0</v>
      </c>
      <c r="D49" s="39">
        <v>1.15</v>
      </c>
      <c r="E49" s="38">
        <f t="shared" si="5"/>
        <v>1.15</v>
      </c>
      <c r="F49" s="27"/>
      <c r="G49" s="74" t="s">
        <v>210</v>
      </c>
      <c r="H49" s="39">
        <v>2.0</v>
      </c>
      <c r="I49" s="40">
        <v>20.0</v>
      </c>
      <c r="J49" s="40">
        <v>3.0</v>
      </c>
      <c r="K49" s="38">
        <f t="shared" si="4"/>
        <v>0.3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9" t="s">
        <v>237</v>
      </c>
      <c r="B50" s="39">
        <v>100.0</v>
      </c>
      <c r="C50" s="39">
        <v>240.0</v>
      </c>
      <c r="D50" s="39">
        <v>2.0</v>
      </c>
      <c r="E50" s="38">
        <f t="shared" si="5"/>
        <v>0.8333333333</v>
      </c>
      <c r="F50" s="27"/>
      <c r="G50" s="41"/>
      <c r="H50" s="41"/>
      <c r="I50" s="41"/>
      <c r="J50" s="41"/>
      <c r="K50" s="75">
        <f>SUM(K43:K49)</f>
        <v>3.263473333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45"/>
      <c r="B51" s="45"/>
      <c r="C51" s="45"/>
      <c r="D51" s="45"/>
      <c r="E51" s="76">
        <f>SUM(E47:E50)</f>
        <v>3.632333333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77"/>
      <c r="B52" s="77"/>
      <c r="C52" s="77"/>
      <c r="D52" s="77"/>
      <c r="E52" s="42"/>
      <c r="F52" s="27"/>
      <c r="K52" s="30"/>
      <c r="L52" s="30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J53" s="4" t="s">
        <v>9</v>
      </c>
      <c r="K53" s="30" t="s">
        <v>238</v>
      </c>
      <c r="L53" s="30" t="s">
        <v>239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G54" s="30" t="s">
        <v>240</v>
      </c>
      <c r="H54" s="30"/>
      <c r="I54" s="27"/>
      <c r="J54" s="27">
        <f>SUM(E19+E42+E51+K50)</f>
        <v>17.74811778</v>
      </c>
      <c r="K54" s="30">
        <v>23.0</v>
      </c>
      <c r="L54" s="27">
        <f t="shared" ref="L54:L55" si="6">SUM(K54-J54)</f>
        <v>5.251882222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G55" s="30" t="s">
        <v>241</v>
      </c>
      <c r="H55" s="27"/>
      <c r="I55" s="27"/>
      <c r="J55" s="27">
        <f>SUM(E19*2)+E42+E51+K50</f>
        <v>23.43204</v>
      </c>
      <c r="K55" s="30">
        <v>30.0</v>
      </c>
      <c r="L55" s="27">
        <f t="shared" si="6"/>
        <v>6.56796</v>
      </c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45"/>
      <c r="B61" s="45"/>
      <c r="C61" s="45"/>
      <c r="D61" s="45"/>
      <c r="E61" s="45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41"/>
      <c r="B62" s="41"/>
      <c r="C62" s="41"/>
      <c r="D62" s="41"/>
      <c r="E62" s="45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77"/>
      <c r="B63" s="77"/>
      <c r="C63" s="77"/>
      <c r="D63" s="77"/>
      <c r="E63" s="4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30" t="s">
        <v>242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30" t="s">
        <v>243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34" t="s">
        <v>193</v>
      </c>
      <c r="B91" s="34" t="s">
        <v>194</v>
      </c>
      <c r="C91" s="34" t="s">
        <v>195</v>
      </c>
      <c r="D91" s="34" t="s">
        <v>8</v>
      </c>
      <c r="E91" s="34" t="s">
        <v>197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36"/>
      <c r="B92" s="36"/>
      <c r="C92" s="36"/>
      <c r="D92" s="36"/>
      <c r="E92" s="3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38" t="s">
        <v>199</v>
      </c>
      <c r="B93" s="39">
        <v>150.0</v>
      </c>
      <c r="C93" s="39">
        <v>250.0</v>
      </c>
      <c r="D93" s="38">
        <v>2.56</v>
      </c>
      <c r="E93" s="38">
        <f t="shared" ref="E93:E106" si="7">B93*D93/C93</f>
        <v>1.536</v>
      </c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38" t="s">
        <v>201</v>
      </c>
      <c r="B94" s="39">
        <v>100.0</v>
      </c>
      <c r="C94" s="38">
        <v>1000.0</v>
      </c>
      <c r="D94" s="38">
        <v>5.0</v>
      </c>
      <c r="E94" s="38">
        <f t="shared" si="7"/>
        <v>0.5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8" t="s">
        <v>203</v>
      </c>
      <c r="B95" s="39">
        <v>1.0</v>
      </c>
      <c r="C95" s="38">
        <v>12.0</v>
      </c>
      <c r="D95" s="38">
        <v>2.5</v>
      </c>
      <c r="E95" s="38">
        <f t="shared" si="7"/>
        <v>0.2083333333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8" t="s">
        <v>205</v>
      </c>
      <c r="B96" s="39">
        <v>200.0</v>
      </c>
      <c r="C96" s="38">
        <v>1000.0</v>
      </c>
      <c r="D96" s="38">
        <v>1.46</v>
      </c>
      <c r="E96" s="38">
        <f t="shared" si="7"/>
        <v>0.292</v>
      </c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8" t="s">
        <v>207</v>
      </c>
      <c r="B97" s="38">
        <v>10.0</v>
      </c>
      <c r="C97" s="38">
        <v>200.0</v>
      </c>
      <c r="D97" s="38">
        <v>6.9</v>
      </c>
      <c r="E97" s="38">
        <f t="shared" si="7"/>
        <v>0.345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8" t="s">
        <v>209</v>
      </c>
      <c r="B98" s="38">
        <v>10.0</v>
      </c>
      <c r="C98" s="38">
        <v>1000.0</v>
      </c>
      <c r="D98" s="38">
        <v>1.0</v>
      </c>
      <c r="E98" s="38">
        <f t="shared" si="7"/>
        <v>0.01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9" t="s">
        <v>244</v>
      </c>
      <c r="B99" s="39">
        <v>50.0</v>
      </c>
      <c r="C99" s="39">
        <v>400.0</v>
      </c>
      <c r="D99" s="39">
        <v>3.0</v>
      </c>
      <c r="E99" s="38">
        <f t="shared" si="7"/>
        <v>0.375</v>
      </c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43" t="s">
        <v>212</v>
      </c>
      <c r="B100" s="43"/>
      <c r="C100" s="43">
        <v>1000.0</v>
      </c>
      <c r="D100" s="43">
        <v>1.15</v>
      </c>
      <c r="E100" s="38">
        <f t="shared" si="7"/>
        <v>0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8" t="s">
        <v>245</v>
      </c>
      <c r="B101" s="37">
        <v>100.0</v>
      </c>
      <c r="C101" s="78">
        <v>250.0</v>
      </c>
      <c r="D101" s="78">
        <v>2.1</v>
      </c>
      <c r="E101" s="38">
        <f t="shared" si="7"/>
        <v>0.84</v>
      </c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43" t="s">
        <v>218</v>
      </c>
      <c r="B102" s="36"/>
      <c r="C102" s="43">
        <v>1000.0</v>
      </c>
      <c r="D102" s="43">
        <v>15.89</v>
      </c>
      <c r="E102" s="38">
        <f t="shared" si="7"/>
        <v>0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43" t="s">
        <v>219</v>
      </c>
      <c r="B103" s="36"/>
      <c r="C103" s="43">
        <v>1000.0</v>
      </c>
      <c r="D103" s="43">
        <v>17.25</v>
      </c>
      <c r="E103" s="38">
        <f t="shared" si="7"/>
        <v>0</v>
      </c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43" t="s">
        <v>220</v>
      </c>
      <c r="B104" s="43"/>
      <c r="C104" s="43">
        <v>40.0</v>
      </c>
      <c r="D104" s="43">
        <v>0.85</v>
      </c>
      <c r="E104" s="38">
        <f t="shared" si="7"/>
        <v>0</v>
      </c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43" t="s">
        <v>221</v>
      </c>
      <c r="B105" s="43">
        <v>1.0</v>
      </c>
      <c r="C105" s="43">
        <v>1.0</v>
      </c>
      <c r="D105" s="43">
        <v>1.2</v>
      </c>
      <c r="E105" s="38">
        <f t="shared" si="7"/>
        <v>1.2</v>
      </c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43" t="s">
        <v>224</v>
      </c>
      <c r="B106" s="43"/>
      <c r="C106" s="43">
        <v>450.0</v>
      </c>
      <c r="D106" s="43">
        <v>4.49</v>
      </c>
      <c r="E106" s="38">
        <f t="shared" si="7"/>
        <v>0</v>
      </c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60"/>
      <c r="B107" s="60"/>
      <c r="C107" s="60"/>
      <c r="D107" s="60"/>
      <c r="E107" s="61">
        <f>SUM(E93+E94+E95+E96+E97+E98+E99+E100+E101+E102+E103+E104+E105+E106)</f>
        <v>5.306333333</v>
      </c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</sheetData>
  <mergeCells count="2">
    <mergeCell ref="A21:E21"/>
    <mergeCell ref="A22:D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6.5"/>
    <col customWidth="1" min="4" max="4" width="14.63"/>
    <col customWidth="1" min="5" max="5" width="8.0"/>
    <col customWidth="1" min="6" max="6" width="13.25"/>
    <col customWidth="1" min="7" max="7" width="12.75"/>
  </cols>
  <sheetData>
    <row r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>
      <c r="A2" s="80" t="s">
        <v>246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>
      <c r="A3" s="81" t="s">
        <v>193</v>
      </c>
      <c r="B3" s="82" t="s">
        <v>117</v>
      </c>
      <c r="C3" s="82" t="s">
        <v>118</v>
      </c>
      <c r="D3" s="82" t="s">
        <v>247</v>
      </c>
      <c r="E3" s="82" t="s">
        <v>248</v>
      </c>
      <c r="F3" s="82" t="s">
        <v>249</v>
      </c>
      <c r="G3" s="82" t="s">
        <v>250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>
      <c r="A4" s="83" t="s">
        <v>251</v>
      </c>
      <c r="B4" s="83">
        <v>200.0</v>
      </c>
      <c r="C4" s="83">
        <v>300.0</v>
      </c>
      <c r="D4" s="83">
        <v>250.0</v>
      </c>
      <c r="E4" s="83">
        <v>2.56</v>
      </c>
      <c r="F4" s="84">
        <f t="shared" ref="F4:F8" si="1">(B4*E4)/D4</f>
        <v>2.048</v>
      </c>
      <c r="G4" s="85">
        <f t="shared" ref="G4:G7" si="2">C5*E5/D5</f>
        <v>0.33525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>
      <c r="A5" s="83" t="s">
        <v>252</v>
      </c>
      <c r="B5" s="83">
        <v>150.0</v>
      </c>
      <c r="C5" s="83">
        <v>225.0</v>
      </c>
      <c r="D5" s="86">
        <v>1000.0</v>
      </c>
      <c r="E5" s="87">
        <v>1.49</v>
      </c>
      <c r="F5" s="84">
        <f t="shared" si="1"/>
        <v>0.2235</v>
      </c>
      <c r="G5" s="85">
        <f t="shared" si="2"/>
        <v>0.625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>
      <c r="A6" s="83" t="s">
        <v>253</v>
      </c>
      <c r="B6" s="83">
        <v>2.0</v>
      </c>
      <c r="C6" s="83">
        <v>3.0</v>
      </c>
      <c r="D6" s="86">
        <v>12.0</v>
      </c>
      <c r="E6" s="87">
        <v>2.5</v>
      </c>
      <c r="F6" s="84">
        <f t="shared" si="1"/>
        <v>0.4166666667</v>
      </c>
      <c r="G6" s="85">
        <f t="shared" si="2"/>
        <v>0.149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>
      <c r="A7" s="83" t="s">
        <v>254</v>
      </c>
      <c r="B7" s="83">
        <v>1.0</v>
      </c>
      <c r="C7" s="83">
        <v>1.0</v>
      </c>
      <c r="D7" s="83">
        <v>10.0</v>
      </c>
      <c r="E7" s="87">
        <v>1.49</v>
      </c>
      <c r="F7" s="84">
        <f t="shared" si="1"/>
        <v>0.149</v>
      </c>
      <c r="G7" s="85">
        <f t="shared" si="2"/>
        <v>0.1461864407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>
      <c r="A8" s="83" t="s">
        <v>255</v>
      </c>
      <c r="B8" s="83">
        <v>5.0</v>
      </c>
      <c r="C8" s="83">
        <v>5.0</v>
      </c>
      <c r="D8" s="83">
        <v>236.0</v>
      </c>
      <c r="E8" s="87">
        <v>6.9</v>
      </c>
      <c r="F8" s="84">
        <f t="shared" si="1"/>
        <v>0.1461864407</v>
      </c>
      <c r="G8" s="85">
        <f>C8*E8/D8</f>
        <v>0.1461864407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9">
      <c r="A9" s="83" t="s">
        <v>256</v>
      </c>
      <c r="B9" s="83">
        <v>300.0</v>
      </c>
      <c r="C9" s="83">
        <v>500.0</v>
      </c>
      <c r="D9" s="83">
        <v>1000.0</v>
      </c>
      <c r="E9" s="87">
        <v>1.49</v>
      </c>
      <c r="F9" s="84">
        <f t="shared" ref="F9:G9" si="3">SUM(F5:F8)</f>
        <v>0.9353531073</v>
      </c>
      <c r="G9" s="85">
        <f t="shared" si="3"/>
        <v>1.066372881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>
      <c r="A10" s="88" t="s">
        <v>257</v>
      </c>
      <c r="B10" s="88">
        <v>100.0</v>
      </c>
      <c r="C10" s="88">
        <v>100.0</v>
      </c>
      <c r="D10" s="88">
        <v>400.0</v>
      </c>
      <c r="E10" s="88">
        <v>4.0</v>
      </c>
      <c r="F10" s="84">
        <f t="shared" ref="F10:G10" si="4">SUM(F6:F9)</f>
        <v>1.647206215</v>
      </c>
      <c r="G10" s="85">
        <f t="shared" si="4"/>
        <v>1.507745763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</row>
    <row r="11">
      <c r="A11" s="88" t="s">
        <v>258</v>
      </c>
      <c r="B11" s="88">
        <v>3.0</v>
      </c>
      <c r="C11" s="88">
        <v>3.0</v>
      </c>
      <c r="D11" s="88">
        <v>1000.0</v>
      </c>
      <c r="E11" s="88">
        <v>1.0</v>
      </c>
      <c r="F11" s="84">
        <f t="shared" ref="F11:G11" si="5">SUM(F7:F10)</f>
        <v>2.877745763</v>
      </c>
      <c r="G11" s="85">
        <f t="shared" si="5"/>
        <v>2.866491525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</row>
    <row r="12">
      <c r="A12" s="79"/>
      <c r="B12" s="79"/>
      <c r="C12" s="79"/>
      <c r="D12" s="79"/>
      <c r="E12" s="79"/>
      <c r="F12" s="89">
        <f t="shared" ref="F12:G12" si="6">SUM(F4:F11)</f>
        <v>8.443658192</v>
      </c>
      <c r="G12" s="89">
        <f t="shared" si="6"/>
        <v>6.842233051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</row>
    <row r="13">
      <c r="A13" s="90" t="s">
        <v>259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>
      <c r="A14" s="81" t="s">
        <v>193</v>
      </c>
      <c r="B14" s="82" t="s">
        <v>117</v>
      </c>
      <c r="C14" s="82" t="s">
        <v>118</v>
      </c>
      <c r="D14" s="82" t="s">
        <v>247</v>
      </c>
      <c r="E14" s="82" t="s">
        <v>248</v>
      </c>
      <c r="F14" s="82" t="s">
        <v>249</v>
      </c>
      <c r="G14" s="82" t="s">
        <v>250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>
      <c r="A15" s="83" t="s">
        <v>260</v>
      </c>
      <c r="B15" s="83">
        <v>350.0</v>
      </c>
      <c r="C15" s="83">
        <v>450.0</v>
      </c>
      <c r="D15" s="83">
        <v>350.0</v>
      </c>
      <c r="E15" s="83">
        <v>1.29</v>
      </c>
      <c r="F15" s="84">
        <f>(B15*E15)/D15</f>
        <v>1.29</v>
      </c>
      <c r="G15" s="91">
        <f>(C15*E15/D15)</f>
        <v>1.658571429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</row>
    <row r="16">
      <c r="A16" s="79"/>
      <c r="B16" s="79"/>
      <c r="C16" s="79"/>
      <c r="D16" s="79"/>
      <c r="E16" s="79"/>
      <c r="F16" s="89">
        <f t="shared" ref="F16:G16" si="7">F15</f>
        <v>1.29</v>
      </c>
      <c r="G16" s="92">
        <f t="shared" si="7"/>
        <v>1.658571429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>
      <c r="A17" s="79"/>
      <c r="B17" s="79"/>
      <c r="C17" s="79"/>
      <c r="D17" s="79"/>
      <c r="E17" s="93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</row>
    <row r="18">
      <c r="A18" s="94" t="s">
        <v>261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</row>
    <row r="19">
      <c r="A19" s="95" t="s">
        <v>3</v>
      </c>
      <c r="B19" s="95" t="s">
        <v>117</v>
      </c>
      <c r="C19" s="95" t="s">
        <v>118</v>
      </c>
      <c r="D19" s="95" t="s">
        <v>195</v>
      </c>
      <c r="E19" s="95" t="s">
        <v>8</v>
      </c>
      <c r="F19" s="95" t="s">
        <v>262</v>
      </c>
      <c r="G19" s="95" t="s">
        <v>263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</row>
    <row r="20">
      <c r="A20" s="88" t="s">
        <v>264</v>
      </c>
      <c r="B20" s="88">
        <v>10.0</v>
      </c>
      <c r="C20" s="88">
        <v>10.0</v>
      </c>
      <c r="D20" s="88">
        <v>60.0</v>
      </c>
      <c r="E20" s="88">
        <v>1.0</v>
      </c>
      <c r="F20" s="91">
        <f t="shared" ref="F20:F25" si="8">(B20*E20/D20)</f>
        <v>0.1666666667</v>
      </c>
      <c r="G20" s="91">
        <f t="shared" ref="G20:G25" si="9">(C20*E20/D20)</f>
        <v>0.1666666667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</row>
    <row r="21">
      <c r="A21" s="88" t="s">
        <v>265</v>
      </c>
      <c r="B21" s="88">
        <v>2.0</v>
      </c>
      <c r="C21" s="88">
        <v>2.0</v>
      </c>
      <c r="D21" s="88">
        <v>20.0</v>
      </c>
      <c r="E21" s="88">
        <v>1.13</v>
      </c>
      <c r="F21" s="91">
        <f t="shared" si="8"/>
        <v>0.113</v>
      </c>
      <c r="G21" s="91">
        <f t="shared" si="9"/>
        <v>0.113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</row>
    <row r="22">
      <c r="A22" s="88" t="s">
        <v>266</v>
      </c>
      <c r="B22" s="88">
        <v>30.0</v>
      </c>
      <c r="C22" s="88">
        <v>30.0</v>
      </c>
      <c r="D22" s="88">
        <v>60.0</v>
      </c>
      <c r="E22" s="88">
        <v>1.0</v>
      </c>
      <c r="F22" s="91">
        <f t="shared" si="8"/>
        <v>0.5</v>
      </c>
      <c r="G22" s="91">
        <f t="shared" si="9"/>
        <v>0.5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</row>
    <row r="23">
      <c r="A23" s="88" t="s">
        <v>267</v>
      </c>
      <c r="B23" s="88">
        <v>30.0</v>
      </c>
      <c r="C23" s="88">
        <v>30.0</v>
      </c>
      <c r="D23" s="88">
        <v>60.0</v>
      </c>
      <c r="E23" s="88">
        <v>1.0</v>
      </c>
      <c r="F23" s="91">
        <f t="shared" si="8"/>
        <v>0.5</v>
      </c>
      <c r="G23" s="91">
        <f t="shared" si="9"/>
        <v>0.5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</row>
    <row r="24">
      <c r="A24" s="88" t="s">
        <v>268</v>
      </c>
      <c r="B24" s="88">
        <v>1.0</v>
      </c>
      <c r="C24" s="88">
        <v>1.0</v>
      </c>
      <c r="D24" s="88">
        <v>1.0</v>
      </c>
      <c r="E24" s="88">
        <v>1.0</v>
      </c>
      <c r="F24" s="91">
        <f t="shared" si="8"/>
        <v>1</v>
      </c>
      <c r="G24" s="91">
        <f t="shared" si="9"/>
        <v>1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</row>
    <row r="25">
      <c r="A25" s="88" t="s">
        <v>269</v>
      </c>
      <c r="B25" s="88">
        <v>1.0</v>
      </c>
      <c r="C25" s="88">
        <v>1.0</v>
      </c>
      <c r="D25" s="88">
        <v>1.0</v>
      </c>
      <c r="E25" s="88">
        <v>2.2</v>
      </c>
      <c r="F25" s="91">
        <f t="shared" si="8"/>
        <v>2.2</v>
      </c>
      <c r="G25" s="91">
        <f t="shared" si="9"/>
        <v>2.2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</row>
    <row r="26">
      <c r="A26" s="79"/>
      <c r="B26" s="79"/>
      <c r="C26" s="79"/>
      <c r="D26" s="79"/>
      <c r="E26" s="79"/>
      <c r="F26" s="92">
        <f t="shared" ref="F26:G26" si="10">SUM(F20:F25)</f>
        <v>4.479666667</v>
      </c>
      <c r="G26" s="92">
        <f t="shared" si="10"/>
        <v>4.479666667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</row>
    <row r="28">
      <c r="A28" s="79"/>
      <c r="B28" s="79"/>
      <c r="C28" s="79"/>
      <c r="D28" s="96" t="s">
        <v>270</v>
      </c>
      <c r="E28" s="97"/>
      <c r="F28" s="98">
        <f t="shared" ref="F28:G28" si="11">SUM(F12+F16+F26)</f>
        <v>14.21332486</v>
      </c>
      <c r="G28" s="98">
        <f t="shared" si="11"/>
        <v>12.98047115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</row>
    <row r="29">
      <c r="A29" s="79"/>
      <c r="B29" s="79"/>
      <c r="C29" s="79"/>
      <c r="D29" s="99" t="s">
        <v>271</v>
      </c>
      <c r="E29" s="100"/>
      <c r="F29" s="99">
        <v>20.0</v>
      </c>
      <c r="G29" s="99">
        <v>22.0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</row>
    <row r="30">
      <c r="A30" s="79"/>
      <c r="B30" s="79"/>
      <c r="C30" s="79"/>
      <c r="D30" s="96" t="s">
        <v>10</v>
      </c>
      <c r="E30" s="97"/>
      <c r="F30" s="98">
        <f t="shared" ref="F30:G30" si="12">SUM(F29-F28)</f>
        <v>5.786675141</v>
      </c>
      <c r="G30" s="98">
        <f t="shared" si="12"/>
        <v>9.019528854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2">
      <c r="C2" s="101" t="s">
        <v>272</v>
      </c>
    </row>
    <row r="3">
      <c r="A3" s="34" t="s">
        <v>193</v>
      </c>
      <c r="B3" s="34" t="s">
        <v>194</v>
      </c>
      <c r="C3" s="34" t="s">
        <v>195</v>
      </c>
      <c r="D3" s="34" t="s">
        <v>8</v>
      </c>
      <c r="E3" s="34" t="s">
        <v>197</v>
      </c>
    </row>
    <row r="4">
      <c r="A4" s="36"/>
      <c r="B4" s="36"/>
      <c r="C4" s="36"/>
      <c r="D4" s="36"/>
      <c r="E4" s="36"/>
      <c r="G4" s="4" t="s">
        <v>273</v>
      </c>
    </row>
    <row r="5">
      <c r="A5" s="38" t="s">
        <v>199</v>
      </c>
      <c r="B5" s="39">
        <v>100.0</v>
      </c>
      <c r="C5" s="38">
        <v>1000.0</v>
      </c>
      <c r="D5" s="38">
        <v>2.56</v>
      </c>
      <c r="E5" s="38">
        <f t="shared" ref="E5:E11" si="1">B5*D5/C5</f>
        <v>0.256</v>
      </c>
    </row>
    <row r="6">
      <c r="A6" s="38" t="s">
        <v>201</v>
      </c>
      <c r="B6" s="39">
        <v>100.0</v>
      </c>
      <c r="C6" s="38">
        <v>1000.0</v>
      </c>
      <c r="D6" s="38">
        <v>5.0</v>
      </c>
      <c r="E6" s="38">
        <f t="shared" si="1"/>
        <v>0.5</v>
      </c>
    </row>
    <row r="7">
      <c r="A7" s="38" t="s">
        <v>203</v>
      </c>
      <c r="B7" s="39">
        <v>1.0</v>
      </c>
      <c r="C7" s="38">
        <v>12.0</v>
      </c>
      <c r="D7" s="38">
        <v>2.5</v>
      </c>
      <c r="E7" s="38">
        <f t="shared" si="1"/>
        <v>0.2083333333</v>
      </c>
    </row>
    <row r="8">
      <c r="A8" s="38" t="s">
        <v>205</v>
      </c>
      <c r="B8" s="39">
        <v>200.0</v>
      </c>
      <c r="C8" s="38">
        <v>1000.0</v>
      </c>
      <c r="D8" s="38">
        <v>1.46</v>
      </c>
      <c r="E8" s="38">
        <f t="shared" si="1"/>
        <v>0.292</v>
      </c>
    </row>
    <row r="9">
      <c r="A9" s="38" t="s">
        <v>207</v>
      </c>
      <c r="B9" s="39">
        <v>5.0</v>
      </c>
      <c r="C9" s="38">
        <v>200.0</v>
      </c>
      <c r="D9" s="38">
        <v>6.9</v>
      </c>
      <c r="E9" s="38">
        <f t="shared" si="1"/>
        <v>0.1725</v>
      </c>
    </row>
    <row r="10">
      <c r="A10" s="38" t="s">
        <v>209</v>
      </c>
      <c r="B10" s="39">
        <v>5.0</v>
      </c>
      <c r="C10" s="38">
        <v>1000.0</v>
      </c>
      <c r="D10" s="38">
        <v>1.0</v>
      </c>
      <c r="E10" s="38">
        <f t="shared" si="1"/>
        <v>0.005</v>
      </c>
    </row>
    <row r="11">
      <c r="A11" s="39" t="s">
        <v>274</v>
      </c>
      <c r="B11" s="39">
        <v>0.0</v>
      </c>
      <c r="C11" s="39">
        <v>450.0</v>
      </c>
      <c r="D11" s="39">
        <v>4.99</v>
      </c>
      <c r="E11" s="38">
        <f t="shared" si="1"/>
        <v>0</v>
      </c>
    </row>
    <row r="12">
      <c r="A12" s="77"/>
      <c r="B12" s="77"/>
      <c r="C12" s="77"/>
      <c r="D12" s="77"/>
      <c r="E12" s="75">
        <f>SUM(E5:E11)</f>
        <v>1.433833333</v>
      </c>
    </row>
    <row r="13">
      <c r="A13" s="77"/>
      <c r="B13" s="60">
        <f>SUM(B5:B11)</f>
        <v>411</v>
      </c>
      <c r="C13" s="77"/>
      <c r="D13" s="77"/>
      <c r="E13" s="45"/>
    </row>
    <row r="14">
      <c r="A14" s="77"/>
      <c r="B14" s="60"/>
      <c r="C14" s="77"/>
      <c r="D14" s="77"/>
      <c r="E14" s="45"/>
    </row>
    <row r="15">
      <c r="A15" s="77"/>
      <c r="B15" s="102" t="s">
        <v>275</v>
      </c>
      <c r="C15" s="77"/>
      <c r="D15" s="77"/>
      <c r="E15" s="45"/>
    </row>
    <row r="16">
      <c r="A16" s="34" t="s">
        <v>193</v>
      </c>
      <c r="B16" s="34" t="s">
        <v>194</v>
      </c>
      <c r="C16" s="34" t="s">
        <v>195</v>
      </c>
      <c r="D16" s="34" t="s">
        <v>8</v>
      </c>
      <c r="E16" s="34" t="s">
        <v>197</v>
      </c>
      <c r="H16" s="4" t="s">
        <v>261</v>
      </c>
    </row>
    <row r="17">
      <c r="A17" s="36"/>
      <c r="B17" s="36"/>
      <c r="C17" s="36"/>
      <c r="D17" s="36"/>
      <c r="E17" s="36"/>
      <c r="G17" s="34" t="s">
        <v>193</v>
      </c>
      <c r="H17" s="34" t="s">
        <v>194</v>
      </c>
      <c r="I17" s="34" t="s">
        <v>195</v>
      </c>
      <c r="J17" s="34" t="s">
        <v>8</v>
      </c>
      <c r="K17" s="34" t="s">
        <v>197</v>
      </c>
    </row>
    <row r="18">
      <c r="A18" s="39" t="s">
        <v>276</v>
      </c>
      <c r="B18" s="39">
        <v>8.0</v>
      </c>
      <c r="C18" s="38">
        <v>1000.0</v>
      </c>
      <c r="D18" s="38">
        <v>2.56</v>
      </c>
      <c r="E18" s="38">
        <f t="shared" ref="E18:E25" si="2">B18*D18/C18</f>
        <v>0.02048</v>
      </c>
      <c r="G18" s="36"/>
      <c r="H18" s="36"/>
      <c r="I18" s="36"/>
      <c r="J18" s="36"/>
      <c r="K18" s="36"/>
    </row>
    <row r="19">
      <c r="A19" s="39" t="s">
        <v>277</v>
      </c>
      <c r="B19" s="39">
        <v>1.0</v>
      </c>
      <c r="C19" s="38">
        <v>1000.0</v>
      </c>
      <c r="D19" s="38">
        <v>5.0</v>
      </c>
      <c r="E19" s="38">
        <f t="shared" si="2"/>
        <v>0.005</v>
      </c>
      <c r="G19" s="40" t="s">
        <v>200</v>
      </c>
      <c r="H19" s="39">
        <v>1.0</v>
      </c>
      <c r="I19" s="40">
        <v>20.0</v>
      </c>
      <c r="J19" s="40">
        <v>1.13</v>
      </c>
      <c r="K19" s="38">
        <f t="shared" ref="K19:K23" si="3">H19*J19/I19</f>
        <v>0.0565</v>
      </c>
    </row>
    <row r="20">
      <c r="A20" s="39" t="s">
        <v>278</v>
      </c>
      <c r="B20" s="39">
        <v>8.0</v>
      </c>
      <c r="C20" s="38">
        <v>12.0</v>
      </c>
      <c r="D20" s="38">
        <v>2.5</v>
      </c>
      <c r="E20" s="38">
        <f t="shared" si="2"/>
        <v>1.666666667</v>
      </c>
      <c r="G20" s="40" t="s">
        <v>202</v>
      </c>
      <c r="H20" s="39">
        <v>1.0</v>
      </c>
      <c r="I20" s="40">
        <v>100.0</v>
      </c>
      <c r="J20" s="40">
        <v>10.0</v>
      </c>
      <c r="K20" s="38">
        <f t="shared" si="3"/>
        <v>0.1</v>
      </c>
    </row>
    <row r="21">
      <c r="A21" s="39" t="s">
        <v>279</v>
      </c>
      <c r="B21" s="39">
        <v>1.0</v>
      </c>
      <c r="C21" s="38">
        <v>1000.0</v>
      </c>
      <c r="D21" s="38">
        <v>1.46</v>
      </c>
      <c r="E21" s="38">
        <f t="shared" si="2"/>
        <v>0.00146</v>
      </c>
      <c r="G21" s="40" t="s">
        <v>204</v>
      </c>
      <c r="H21" s="39">
        <v>30.0</v>
      </c>
      <c r="I21" s="40">
        <v>60.0</v>
      </c>
      <c r="J21" s="40">
        <v>1.0</v>
      </c>
      <c r="K21" s="38">
        <f t="shared" si="3"/>
        <v>0.5</v>
      </c>
    </row>
    <row r="22">
      <c r="A22" s="39" t="s">
        <v>280</v>
      </c>
      <c r="B22" s="39">
        <v>2.0</v>
      </c>
      <c r="C22" s="38">
        <v>200.0</v>
      </c>
      <c r="D22" s="38">
        <v>6.9</v>
      </c>
      <c r="E22" s="38">
        <f t="shared" si="2"/>
        <v>0.069</v>
      </c>
      <c r="G22" s="40" t="s">
        <v>206</v>
      </c>
      <c r="H22" s="39">
        <v>12.0</v>
      </c>
      <c r="I22" s="40">
        <v>1000.0</v>
      </c>
      <c r="J22" s="40">
        <v>1.97</v>
      </c>
      <c r="K22" s="38">
        <f t="shared" si="3"/>
        <v>0.02364</v>
      </c>
    </row>
    <row r="23">
      <c r="A23" s="39" t="s">
        <v>281</v>
      </c>
      <c r="B23" s="39">
        <v>450.0</v>
      </c>
      <c r="C23" s="39">
        <v>900.0</v>
      </c>
      <c r="D23" s="39">
        <v>6.34</v>
      </c>
      <c r="E23" s="38">
        <f t="shared" si="2"/>
        <v>3.17</v>
      </c>
      <c r="G23" s="40" t="s">
        <v>208</v>
      </c>
      <c r="H23" s="39">
        <v>5.0</v>
      </c>
      <c r="I23" s="40">
        <v>60.0</v>
      </c>
      <c r="J23" s="40">
        <v>1.0</v>
      </c>
      <c r="K23" s="38">
        <f t="shared" si="3"/>
        <v>0.08333333333</v>
      </c>
    </row>
    <row r="24">
      <c r="A24" s="39" t="s">
        <v>282</v>
      </c>
      <c r="B24" s="39">
        <v>4.0</v>
      </c>
      <c r="C24" s="39">
        <v>28.0</v>
      </c>
      <c r="D24" s="39">
        <v>2.6</v>
      </c>
      <c r="E24" s="38">
        <f t="shared" si="2"/>
        <v>0.3714285714</v>
      </c>
      <c r="G24" s="40"/>
      <c r="H24" s="39"/>
      <c r="I24" s="40"/>
      <c r="J24" s="40"/>
      <c r="K24" s="38"/>
    </row>
    <row r="25">
      <c r="A25" s="39" t="s">
        <v>283</v>
      </c>
      <c r="B25" s="39">
        <v>4.0</v>
      </c>
      <c r="C25" s="38">
        <v>1000.0</v>
      </c>
      <c r="D25" s="38">
        <v>1.0</v>
      </c>
      <c r="E25" s="38">
        <f t="shared" si="2"/>
        <v>0.004</v>
      </c>
      <c r="G25" s="41"/>
      <c r="H25" s="41"/>
      <c r="I25" s="41"/>
      <c r="J25" s="41"/>
      <c r="K25" s="42">
        <f>SUM(K19:K24)</f>
        <v>0.7634733333</v>
      </c>
    </row>
    <row r="26">
      <c r="A26" s="39" t="s">
        <v>284</v>
      </c>
      <c r="B26" s="39">
        <v>1.0</v>
      </c>
      <c r="C26" s="39">
        <v>1.0</v>
      </c>
      <c r="D26" s="39">
        <v>1.75</v>
      </c>
      <c r="E26" s="39">
        <v>2.2</v>
      </c>
      <c r="G26" s="45"/>
      <c r="H26" s="41"/>
      <c r="I26" s="41"/>
      <c r="J26" s="45"/>
      <c r="K26" s="45"/>
    </row>
    <row r="27">
      <c r="A27" s="39"/>
      <c r="B27" s="39">
        <v>0.0</v>
      </c>
      <c r="C27" s="39">
        <v>100.0</v>
      </c>
      <c r="D27" s="39">
        <v>11.0</v>
      </c>
      <c r="E27" s="38">
        <f t="shared" ref="E27:E28" si="4">B27*D27/C27</f>
        <v>0</v>
      </c>
      <c r="G27" s="103" t="s">
        <v>285</v>
      </c>
      <c r="H27" s="104" t="s">
        <v>286</v>
      </c>
      <c r="I27" s="41"/>
      <c r="J27" s="41"/>
      <c r="K27" s="45"/>
    </row>
    <row r="28">
      <c r="A28" s="39"/>
      <c r="B28" s="39">
        <v>0.0</v>
      </c>
      <c r="C28" s="39">
        <v>450.0</v>
      </c>
      <c r="D28" s="39">
        <v>4.99</v>
      </c>
      <c r="E28" s="38">
        <f t="shared" si="4"/>
        <v>0</v>
      </c>
      <c r="G28" s="105" t="str">
        <f>SUM(#REF!+K25)</f>
        <v>#REF!</v>
      </c>
      <c r="H28" s="106">
        <v>25.0</v>
      </c>
      <c r="I28" s="41"/>
      <c r="J28" s="41"/>
      <c r="K28" s="45"/>
    </row>
    <row r="29">
      <c r="A29" s="77"/>
      <c r="B29" s="77"/>
      <c r="C29" s="77"/>
      <c r="D29" s="77"/>
      <c r="E29" s="75">
        <f>SUM(E18:E28)</f>
        <v>7.508035238</v>
      </c>
      <c r="G29" s="105"/>
      <c r="H29" s="106"/>
      <c r="I29" s="41"/>
      <c r="J29" s="41"/>
      <c r="K29" s="45"/>
    </row>
    <row r="30">
      <c r="G30" s="107"/>
      <c r="H30" s="108"/>
      <c r="I30" s="77"/>
      <c r="J30" s="77"/>
    </row>
    <row r="31">
      <c r="G31" s="109" t="s">
        <v>287</v>
      </c>
      <c r="H31" s="110" t="s">
        <v>288</v>
      </c>
    </row>
    <row r="32">
      <c r="G32" s="111" t="str">
        <f>(#REF!*2)+K25</f>
        <v>#REF!</v>
      </c>
      <c r="H32" s="112">
        <v>40.0</v>
      </c>
    </row>
    <row r="35">
      <c r="H35" s="4" t="s">
        <v>261</v>
      </c>
    </row>
    <row r="36">
      <c r="G36" s="34" t="s">
        <v>193</v>
      </c>
      <c r="H36" s="34" t="s">
        <v>194</v>
      </c>
      <c r="I36" s="34" t="s">
        <v>195</v>
      </c>
      <c r="J36" s="34" t="s">
        <v>8</v>
      </c>
      <c r="K36" s="34" t="s">
        <v>197</v>
      </c>
    </row>
    <row r="37">
      <c r="G37" s="36"/>
      <c r="H37" s="36"/>
      <c r="I37" s="36"/>
      <c r="J37" s="36"/>
      <c r="K37" s="36"/>
    </row>
    <row r="38">
      <c r="G38" s="40" t="s">
        <v>200</v>
      </c>
      <c r="H38" s="39">
        <v>1.0</v>
      </c>
      <c r="I38" s="40">
        <v>20.0</v>
      </c>
      <c r="J38" s="40">
        <v>1.13</v>
      </c>
      <c r="K38" s="38">
        <f t="shared" ref="K38:K42" si="5">H38*J38/I38</f>
        <v>0.0565</v>
      </c>
    </row>
    <row r="39">
      <c r="G39" s="40" t="s">
        <v>289</v>
      </c>
      <c r="H39" s="39">
        <v>10.0</v>
      </c>
      <c r="I39" s="40">
        <v>100.0</v>
      </c>
      <c r="J39" s="40">
        <v>1.63</v>
      </c>
      <c r="K39" s="38">
        <f t="shared" si="5"/>
        <v>0.163</v>
      </c>
    </row>
    <row r="40">
      <c r="G40" s="40" t="s">
        <v>204</v>
      </c>
      <c r="H40" s="39">
        <v>30.0</v>
      </c>
      <c r="I40" s="40">
        <v>60.0</v>
      </c>
      <c r="J40" s="40">
        <v>1.0</v>
      </c>
      <c r="K40" s="38">
        <f t="shared" si="5"/>
        <v>0.5</v>
      </c>
    </row>
    <row r="41">
      <c r="G41" s="40" t="s">
        <v>206</v>
      </c>
      <c r="H41" s="39">
        <v>12.0</v>
      </c>
      <c r="I41" s="40">
        <v>1000.0</v>
      </c>
      <c r="J41" s="40">
        <v>1.97</v>
      </c>
      <c r="K41" s="38">
        <f t="shared" si="5"/>
        <v>0.02364</v>
      </c>
    </row>
    <row r="42">
      <c r="G42" s="40" t="s">
        <v>208</v>
      </c>
      <c r="H42" s="39">
        <v>5.0</v>
      </c>
      <c r="I42" s="40">
        <v>60.0</v>
      </c>
      <c r="J42" s="40">
        <v>1.0</v>
      </c>
      <c r="K42" s="38">
        <f t="shared" si="5"/>
        <v>0.08333333333</v>
      </c>
    </row>
    <row r="43">
      <c r="G43" s="40"/>
      <c r="H43" s="39"/>
      <c r="I43" s="40"/>
      <c r="J43" s="40"/>
      <c r="K43" s="38"/>
    </row>
    <row r="44">
      <c r="G44" s="41"/>
      <c r="H44" s="41"/>
      <c r="I44" s="41"/>
      <c r="J44" s="41"/>
      <c r="K44" s="42">
        <f>SUM(K38:K43)</f>
        <v>0.8264733333</v>
      </c>
    </row>
    <row r="45">
      <c r="G45" s="45"/>
      <c r="H45" s="41"/>
      <c r="I45" s="41"/>
      <c r="J45" s="45"/>
      <c r="K45" s="45"/>
    </row>
    <row r="46">
      <c r="G46" s="46" t="s">
        <v>285</v>
      </c>
      <c r="H46" s="47" t="s">
        <v>286</v>
      </c>
      <c r="I46" s="46" t="s">
        <v>217</v>
      </c>
      <c r="J46" s="46" t="s">
        <v>232</v>
      </c>
      <c r="K46" s="45"/>
    </row>
    <row r="47">
      <c r="G47" s="39">
        <f>SUM(E29+K44)</f>
        <v>8.334508571</v>
      </c>
      <c r="H47" s="50">
        <v>30.0</v>
      </c>
      <c r="I47" s="39">
        <f>H47-G47</f>
        <v>21.66549143</v>
      </c>
      <c r="J47" s="39" t="str">
        <f>K43</f>
        <v/>
      </c>
      <c r="K47" s="45"/>
    </row>
    <row r="48">
      <c r="G48" s="39"/>
      <c r="H48" s="50"/>
      <c r="I48" s="39"/>
      <c r="J48" s="39"/>
      <c r="K48" s="45"/>
    </row>
    <row r="49">
      <c r="G49" s="38"/>
      <c r="H49" s="52"/>
      <c r="I49" s="38"/>
      <c r="J49" s="38"/>
    </row>
    <row r="50">
      <c r="G50" s="54" t="s">
        <v>287</v>
      </c>
      <c r="H50" s="55" t="s">
        <v>288</v>
      </c>
      <c r="I50" s="58"/>
      <c r="J50" s="58"/>
    </row>
    <row r="51">
      <c r="G51" s="58">
        <f>(E29*2)+K44</f>
        <v>15.84254381</v>
      </c>
      <c r="H51" s="59">
        <v>50.0</v>
      </c>
      <c r="I51" s="58">
        <f>H51-G51</f>
        <v>34.15745619</v>
      </c>
      <c r="J51" s="58" t="str">
        <f>K43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2">
      <c r="C2" s="101" t="s">
        <v>272</v>
      </c>
    </row>
    <row r="3">
      <c r="A3" s="34" t="s">
        <v>193</v>
      </c>
      <c r="B3" s="34" t="s">
        <v>194</v>
      </c>
      <c r="C3" s="34" t="s">
        <v>195</v>
      </c>
      <c r="D3" s="34" t="s">
        <v>8</v>
      </c>
      <c r="E3" s="34" t="s">
        <v>197</v>
      </c>
    </row>
    <row r="4">
      <c r="A4" s="36"/>
      <c r="B4" s="36"/>
      <c r="C4" s="36"/>
      <c r="D4" s="36"/>
      <c r="E4" s="36"/>
      <c r="G4" s="4" t="s">
        <v>290</v>
      </c>
    </row>
    <row r="5">
      <c r="A5" s="38" t="s">
        <v>199</v>
      </c>
      <c r="B5" s="39">
        <v>200.0</v>
      </c>
      <c r="C5" s="38">
        <v>1000.0</v>
      </c>
      <c r="D5" s="38">
        <v>2.56</v>
      </c>
      <c r="E5" s="38">
        <f t="shared" ref="E5:E11" si="1">B5*D5/C5</f>
        <v>0.512</v>
      </c>
      <c r="G5" s="4" t="s">
        <v>291</v>
      </c>
    </row>
    <row r="6">
      <c r="A6" s="38" t="s">
        <v>201</v>
      </c>
      <c r="B6" s="39">
        <v>200.0</v>
      </c>
      <c r="C6" s="38">
        <v>1000.0</v>
      </c>
      <c r="D6" s="38">
        <v>5.0</v>
      </c>
      <c r="E6" s="38">
        <f t="shared" si="1"/>
        <v>1</v>
      </c>
      <c r="G6" s="4" t="s">
        <v>292</v>
      </c>
    </row>
    <row r="7">
      <c r="A7" s="38" t="s">
        <v>203</v>
      </c>
      <c r="B7" s="39">
        <v>1.0</v>
      </c>
      <c r="C7" s="38">
        <v>12.0</v>
      </c>
      <c r="D7" s="38">
        <v>2.5</v>
      </c>
      <c r="E7" s="38">
        <f t="shared" si="1"/>
        <v>0.2083333333</v>
      </c>
      <c r="G7" s="4" t="s">
        <v>293</v>
      </c>
    </row>
    <row r="8">
      <c r="A8" s="38" t="s">
        <v>205</v>
      </c>
      <c r="B8" s="39">
        <v>500.0</v>
      </c>
      <c r="C8" s="38">
        <v>1000.0</v>
      </c>
      <c r="D8" s="38">
        <v>1.46</v>
      </c>
      <c r="E8" s="38">
        <f t="shared" si="1"/>
        <v>0.73</v>
      </c>
    </row>
    <row r="9">
      <c r="A9" s="38" t="s">
        <v>207</v>
      </c>
      <c r="B9" s="38">
        <v>10.0</v>
      </c>
      <c r="C9" s="38">
        <v>200.0</v>
      </c>
      <c r="D9" s="38">
        <v>6.9</v>
      </c>
      <c r="E9" s="38">
        <f t="shared" si="1"/>
        <v>0.345</v>
      </c>
    </row>
    <row r="10">
      <c r="A10" s="38" t="s">
        <v>209</v>
      </c>
      <c r="B10" s="38">
        <v>10.0</v>
      </c>
      <c r="C10" s="38">
        <v>1000.0</v>
      </c>
      <c r="D10" s="38">
        <v>1.0</v>
      </c>
      <c r="E10" s="38">
        <f t="shared" si="1"/>
        <v>0.01</v>
      </c>
    </row>
    <row r="11">
      <c r="A11" s="39" t="s">
        <v>274</v>
      </c>
      <c r="B11" s="39">
        <v>20.0</v>
      </c>
      <c r="C11" s="39">
        <v>450.0</v>
      </c>
      <c r="D11" s="39">
        <v>4.99</v>
      </c>
      <c r="E11" s="38">
        <f t="shared" si="1"/>
        <v>0.2217777778</v>
      </c>
    </row>
    <row r="12">
      <c r="A12" s="77"/>
      <c r="B12" s="77"/>
      <c r="C12" s="77"/>
      <c r="D12" s="77"/>
      <c r="E12" s="75">
        <f>SUM(E5:E11)</f>
        <v>3.027111111</v>
      </c>
    </row>
    <row r="13">
      <c r="A13" s="77"/>
      <c r="B13" s="60">
        <f>SUM(B5:B11)</f>
        <v>941</v>
      </c>
      <c r="C13" s="77"/>
      <c r="D13" s="77"/>
      <c r="E13" s="45"/>
    </row>
    <row r="14">
      <c r="A14" s="77"/>
      <c r="B14" s="60"/>
      <c r="C14" s="77"/>
      <c r="D14" s="77"/>
      <c r="E14" s="45"/>
    </row>
    <row r="15">
      <c r="A15" s="77"/>
      <c r="B15" s="60"/>
      <c r="C15" s="77"/>
      <c r="D15" s="77"/>
      <c r="E15" s="45"/>
    </row>
    <row r="16">
      <c r="A16" s="77"/>
      <c r="B16" s="102" t="s">
        <v>106</v>
      </c>
      <c r="C16" s="77"/>
      <c r="D16" s="77"/>
      <c r="E16" s="45"/>
      <c r="H16" s="4" t="s">
        <v>261</v>
      </c>
    </row>
    <row r="17">
      <c r="A17" s="34" t="s">
        <v>193</v>
      </c>
      <c r="B17" s="34" t="s">
        <v>194</v>
      </c>
      <c r="C17" s="34" t="s">
        <v>195</v>
      </c>
      <c r="D17" s="34" t="s">
        <v>8</v>
      </c>
      <c r="E17" s="34" t="s">
        <v>197</v>
      </c>
      <c r="G17" s="34" t="s">
        <v>193</v>
      </c>
      <c r="H17" s="34" t="s">
        <v>194</v>
      </c>
      <c r="I17" s="34" t="s">
        <v>195</v>
      </c>
      <c r="J17" s="34" t="s">
        <v>8</v>
      </c>
      <c r="K17" s="34" t="s">
        <v>197</v>
      </c>
    </row>
    <row r="18">
      <c r="A18" s="36"/>
      <c r="B18" s="36"/>
      <c r="C18" s="36"/>
      <c r="D18" s="36"/>
      <c r="E18" s="36"/>
      <c r="G18" s="36"/>
      <c r="H18" s="36"/>
      <c r="I18" s="36"/>
      <c r="J18" s="36"/>
      <c r="K18" s="36"/>
    </row>
    <row r="19">
      <c r="A19" s="38" t="s">
        <v>199</v>
      </c>
      <c r="B19" s="39">
        <v>200.0</v>
      </c>
      <c r="C19" s="38">
        <v>1000.0</v>
      </c>
      <c r="D19" s="38">
        <v>2.56</v>
      </c>
      <c r="E19" s="38">
        <f t="shared" ref="E19:E29" si="2">B19*D19/C19</f>
        <v>0.512</v>
      </c>
      <c r="G19" s="40" t="s">
        <v>200</v>
      </c>
      <c r="H19" s="39">
        <v>1.0</v>
      </c>
      <c r="I19" s="40">
        <v>20.0</v>
      </c>
      <c r="J19" s="40">
        <v>1.13</v>
      </c>
      <c r="K19" s="38">
        <f t="shared" ref="K19:K23" si="3">H19*J19/I19</f>
        <v>0.0565</v>
      </c>
    </row>
    <row r="20">
      <c r="A20" s="38" t="s">
        <v>201</v>
      </c>
      <c r="B20" s="39">
        <v>200.0</v>
      </c>
      <c r="C20" s="38">
        <v>1000.0</v>
      </c>
      <c r="D20" s="38">
        <v>5.0</v>
      </c>
      <c r="E20" s="38">
        <f t="shared" si="2"/>
        <v>1</v>
      </c>
      <c r="G20" s="40" t="s">
        <v>202</v>
      </c>
      <c r="H20" s="39">
        <v>1.0</v>
      </c>
      <c r="I20" s="40">
        <v>100.0</v>
      </c>
      <c r="J20" s="40">
        <v>10.0</v>
      </c>
      <c r="K20" s="38">
        <f t="shared" si="3"/>
        <v>0.1</v>
      </c>
    </row>
    <row r="21">
      <c r="A21" s="38" t="s">
        <v>203</v>
      </c>
      <c r="B21" s="39">
        <v>1.0</v>
      </c>
      <c r="C21" s="38">
        <v>12.0</v>
      </c>
      <c r="D21" s="38">
        <v>2.5</v>
      </c>
      <c r="E21" s="38">
        <f t="shared" si="2"/>
        <v>0.2083333333</v>
      </c>
      <c r="G21" s="40" t="s">
        <v>204</v>
      </c>
      <c r="H21" s="39">
        <v>30.0</v>
      </c>
      <c r="I21" s="40">
        <v>60.0</v>
      </c>
      <c r="J21" s="40">
        <v>1.0</v>
      </c>
      <c r="K21" s="38">
        <f t="shared" si="3"/>
        <v>0.5</v>
      </c>
    </row>
    <row r="22">
      <c r="A22" s="38" t="s">
        <v>205</v>
      </c>
      <c r="B22" s="39">
        <v>500.0</v>
      </c>
      <c r="C22" s="38">
        <v>1000.0</v>
      </c>
      <c r="D22" s="38">
        <v>1.46</v>
      </c>
      <c r="E22" s="38">
        <f t="shared" si="2"/>
        <v>0.73</v>
      </c>
      <c r="G22" s="40" t="s">
        <v>206</v>
      </c>
      <c r="H22" s="39">
        <v>12.0</v>
      </c>
      <c r="I22" s="40">
        <v>1000.0</v>
      </c>
      <c r="J22" s="40">
        <v>1.97</v>
      </c>
      <c r="K22" s="38">
        <f t="shared" si="3"/>
        <v>0.02364</v>
      </c>
    </row>
    <row r="23">
      <c r="A23" s="38" t="s">
        <v>207</v>
      </c>
      <c r="B23" s="38">
        <v>10.0</v>
      </c>
      <c r="C23" s="38">
        <v>200.0</v>
      </c>
      <c r="D23" s="38">
        <v>6.9</v>
      </c>
      <c r="E23" s="38">
        <f t="shared" si="2"/>
        <v>0.345</v>
      </c>
      <c r="G23" s="40" t="s">
        <v>208</v>
      </c>
      <c r="H23" s="39">
        <v>5.0</v>
      </c>
      <c r="I23" s="40">
        <v>60.0</v>
      </c>
      <c r="J23" s="40">
        <v>1.0</v>
      </c>
      <c r="K23" s="38">
        <f t="shared" si="3"/>
        <v>0.08333333333</v>
      </c>
    </row>
    <row r="24">
      <c r="A24" s="39" t="s">
        <v>294</v>
      </c>
      <c r="B24" s="39">
        <v>500.0</v>
      </c>
      <c r="C24" s="39">
        <v>2000.0</v>
      </c>
      <c r="D24" s="39">
        <v>10.75</v>
      </c>
      <c r="E24" s="38">
        <f t="shared" si="2"/>
        <v>2.6875</v>
      </c>
      <c r="G24" s="40"/>
      <c r="H24" s="39"/>
      <c r="I24" s="40"/>
      <c r="J24" s="40"/>
      <c r="K24" s="38"/>
    </row>
    <row r="25">
      <c r="A25" s="39" t="s">
        <v>282</v>
      </c>
      <c r="B25" s="39">
        <v>1.0</v>
      </c>
      <c r="C25" s="39">
        <v>28.0</v>
      </c>
      <c r="D25" s="39">
        <v>2.6</v>
      </c>
      <c r="E25" s="38">
        <f t="shared" si="2"/>
        <v>0.09285714286</v>
      </c>
      <c r="G25" s="41"/>
      <c r="H25" s="41"/>
      <c r="I25" s="41"/>
      <c r="J25" s="41"/>
      <c r="K25" s="42">
        <f>SUM(K19:K24)</f>
        <v>0.7634733333</v>
      </c>
    </row>
    <row r="26">
      <c r="A26" s="38" t="s">
        <v>209</v>
      </c>
      <c r="B26" s="38">
        <v>10.0</v>
      </c>
      <c r="C26" s="38">
        <v>1000.0</v>
      </c>
      <c r="D26" s="38">
        <v>1.0</v>
      </c>
      <c r="E26" s="38">
        <f t="shared" si="2"/>
        <v>0.01</v>
      </c>
      <c r="G26" s="45"/>
      <c r="H26" s="41"/>
      <c r="I26" s="41"/>
      <c r="J26" s="45"/>
      <c r="K26" s="45"/>
    </row>
    <row r="27">
      <c r="A27" s="39" t="s">
        <v>295</v>
      </c>
      <c r="B27" s="39">
        <v>1.0</v>
      </c>
      <c r="C27" s="39">
        <v>1.0</v>
      </c>
      <c r="D27" s="39">
        <v>1.75</v>
      </c>
      <c r="E27" s="38">
        <f t="shared" si="2"/>
        <v>1.75</v>
      </c>
      <c r="G27" s="103" t="s">
        <v>285</v>
      </c>
      <c r="H27" s="104" t="s">
        <v>286</v>
      </c>
      <c r="I27" s="41"/>
      <c r="J27" s="41"/>
      <c r="K27" s="45"/>
    </row>
    <row r="28">
      <c r="A28" s="39" t="s">
        <v>296</v>
      </c>
      <c r="B28" s="39">
        <v>2.0</v>
      </c>
      <c r="C28" s="39">
        <v>100.0</v>
      </c>
      <c r="D28" s="39">
        <v>11.0</v>
      </c>
      <c r="E28" s="38">
        <f t="shared" si="2"/>
        <v>0.22</v>
      </c>
      <c r="G28" s="105">
        <f>SUM(E30+K25)</f>
        <v>8.540941587</v>
      </c>
      <c r="H28" s="106">
        <v>25.0</v>
      </c>
      <c r="I28" s="41"/>
      <c r="J28" s="41"/>
      <c r="K28" s="45"/>
    </row>
    <row r="29">
      <c r="A29" s="39" t="s">
        <v>274</v>
      </c>
      <c r="B29" s="39">
        <v>20.0</v>
      </c>
      <c r="C29" s="39">
        <v>450.0</v>
      </c>
      <c r="D29" s="39">
        <v>4.99</v>
      </c>
      <c r="E29" s="38">
        <f t="shared" si="2"/>
        <v>0.2217777778</v>
      </c>
      <c r="G29" s="105"/>
      <c r="H29" s="106"/>
      <c r="I29" s="41"/>
      <c r="J29" s="41"/>
      <c r="K29" s="45"/>
    </row>
    <row r="30">
      <c r="A30" s="77"/>
      <c r="B30" s="77"/>
      <c r="C30" s="77"/>
      <c r="D30" s="77"/>
      <c r="E30" s="75">
        <f>SUM(E19:E29)</f>
        <v>7.777468254</v>
      </c>
      <c r="G30" s="107"/>
      <c r="H30" s="108"/>
      <c r="I30" s="77"/>
      <c r="J30" s="77"/>
    </row>
    <row r="31">
      <c r="G31" s="109" t="s">
        <v>287</v>
      </c>
      <c r="H31" s="110" t="s">
        <v>288</v>
      </c>
    </row>
    <row r="32">
      <c r="G32" s="111">
        <f>(E30*2)+K25</f>
        <v>16.31840984</v>
      </c>
      <c r="H32" s="112">
        <v>40.0</v>
      </c>
    </row>
    <row r="35">
      <c r="A35" s="77"/>
      <c r="B35" s="102" t="s">
        <v>275</v>
      </c>
      <c r="C35" s="77"/>
      <c r="D35" s="77"/>
      <c r="E35" s="45"/>
      <c r="H35" s="4" t="s">
        <v>261</v>
      </c>
    </row>
    <row r="36">
      <c r="A36" s="34" t="s">
        <v>193</v>
      </c>
      <c r="B36" s="34" t="s">
        <v>194</v>
      </c>
      <c r="C36" s="34" t="s">
        <v>195</v>
      </c>
      <c r="D36" s="34" t="s">
        <v>8</v>
      </c>
      <c r="E36" s="34" t="s">
        <v>197</v>
      </c>
      <c r="G36" s="34" t="s">
        <v>193</v>
      </c>
      <c r="H36" s="34" t="s">
        <v>194</v>
      </c>
      <c r="I36" s="34" t="s">
        <v>195</v>
      </c>
      <c r="J36" s="34" t="s">
        <v>8</v>
      </c>
      <c r="K36" s="34" t="s">
        <v>197</v>
      </c>
    </row>
    <row r="37">
      <c r="A37" s="36"/>
      <c r="B37" s="36"/>
      <c r="C37" s="36"/>
      <c r="D37" s="36"/>
      <c r="E37" s="36"/>
      <c r="G37" s="36"/>
      <c r="H37" s="36"/>
      <c r="I37" s="36"/>
      <c r="J37" s="36"/>
      <c r="K37" s="36"/>
    </row>
    <row r="38">
      <c r="A38" s="38" t="s">
        <v>199</v>
      </c>
      <c r="B38" s="39">
        <v>200.0</v>
      </c>
      <c r="C38" s="38">
        <v>1000.0</v>
      </c>
      <c r="D38" s="38">
        <v>2.56</v>
      </c>
      <c r="E38" s="38">
        <f t="shared" ref="E38:E45" si="4">B38*D38/C38</f>
        <v>0.512</v>
      </c>
      <c r="G38" s="40" t="s">
        <v>200</v>
      </c>
      <c r="H38" s="39">
        <v>1.0</v>
      </c>
      <c r="I38" s="40">
        <v>20.0</v>
      </c>
      <c r="J38" s="40">
        <v>1.13</v>
      </c>
      <c r="K38" s="38">
        <f t="shared" ref="K38:K42" si="5">H38*J38/I38</f>
        <v>0.0565</v>
      </c>
    </row>
    <row r="39">
      <c r="A39" s="38" t="s">
        <v>201</v>
      </c>
      <c r="B39" s="39">
        <v>200.0</v>
      </c>
      <c r="C39" s="38">
        <v>1000.0</v>
      </c>
      <c r="D39" s="38">
        <v>5.0</v>
      </c>
      <c r="E39" s="38">
        <f t="shared" si="4"/>
        <v>1</v>
      </c>
      <c r="G39" s="40" t="s">
        <v>289</v>
      </c>
      <c r="H39" s="39">
        <v>10.0</v>
      </c>
      <c r="I39" s="40">
        <v>100.0</v>
      </c>
      <c r="J39" s="40">
        <v>1.63</v>
      </c>
      <c r="K39" s="38">
        <f t="shared" si="5"/>
        <v>0.163</v>
      </c>
    </row>
    <row r="40">
      <c r="A40" s="38" t="s">
        <v>203</v>
      </c>
      <c r="B40" s="39">
        <v>1.0</v>
      </c>
      <c r="C40" s="38">
        <v>12.0</v>
      </c>
      <c r="D40" s="38">
        <v>2.5</v>
      </c>
      <c r="E40" s="38">
        <f t="shared" si="4"/>
        <v>0.2083333333</v>
      </c>
      <c r="G40" s="40" t="s">
        <v>204</v>
      </c>
      <c r="H40" s="39">
        <v>30.0</v>
      </c>
      <c r="I40" s="40">
        <v>60.0</v>
      </c>
      <c r="J40" s="40">
        <v>1.0</v>
      </c>
      <c r="K40" s="38">
        <f t="shared" si="5"/>
        <v>0.5</v>
      </c>
    </row>
    <row r="41">
      <c r="A41" s="38" t="s">
        <v>205</v>
      </c>
      <c r="B41" s="39">
        <v>500.0</v>
      </c>
      <c r="C41" s="38">
        <v>1000.0</v>
      </c>
      <c r="D41" s="38">
        <v>1.46</v>
      </c>
      <c r="E41" s="38">
        <f t="shared" si="4"/>
        <v>0.73</v>
      </c>
      <c r="G41" s="40" t="s">
        <v>206</v>
      </c>
      <c r="H41" s="39">
        <v>12.0</v>
      </c>
      <c r="I41" s="40">
        <v>1000.0</v>
      </c>
      <c r="J41" s="40">
        <v>1.97</v>
      </c>
      <c r="K41" s="38">
        <f t="shared" si="5"/>
        <v>0.02364</v>
      </c>
    </row>
    <row r="42">
      <c r="A42" s="38" t="s">
        <v>207</v>
      </c>
      <c r="B42" s="38">
        <v>10.0</v>
      </c>
      <c r="C42" s="38">
        <v>200.0</v>
      </c>
      <c r="D42" s="38">
        <v>6.9</v>
      </c>
      <c r="E42" s="38">
        <f t="shared" si="4"/>
        <v>0.345</v>
      </c>
      <c r="G42" s="40" t="s">
        <v>208</v>
      </c>
      <c r="H42" s="39">
        <v>5.0</v>
      </c>
      <c r="I42" s="40">
        <v>60.0</v>
      </c>
      <c r="J42" s="40">
        <v>1.0</v>
      </c>
      <c r="K42" s="38">
        <f t="shared" si="5"/>
        <v>0.08333333333</v>
      </c>
    </row>
    <row r="43">
      <c r="A43" s="39" t="s">
        <v>281</v>
      </c>
      <c r="B43" s="39">
        <v>450.0</v>
      </c>
      <c r="C43" s="39">
        <v>900.0</v>
      </c>
      <c r="D43" s="39">
        <v>6.34</v>
      </c>
      <c r="E43" s="38">
        <f t="shared" si="4"/>
        <v>3.17</v>
      </c>
      <c r="G43" s="40"/>
      <c r="H43" s="39"/>
      <c r="I43" s="40"/>
      <c r="J43" s="40"/>
      <c r="K43" s="38"/>
    </row>
    <row r="44">
      <c r="A44" s="39" t="s">
        <v>282</v>
      </c>
      <c r="B44" s="39">
        <v>1.0</v>
      </c>
      <c r="C44" s="39">
        <v>28.0</v>
      </c>
      <c r="D44" s="39">
        <v>2.6</v>
      </c>
      <c r="E44" s="38">
        <f t="shared" si="4"/>
        <v>0.09285714286</v>
      </c>
      <c r="G44" s="41"/>
      <c r="H44" s="41"/>
      <c r="I44" s="41"/>
      <c r="J44" s="41"/>
      <c r="K44" s="42">
        <f>SUM(K38:K43)</f>
        <v>0.8264733333</v>
      </c>
    </row>
    <row r="45">
      <c r="A45" s="38" t="s">
        <v>209</v>
      </c>
      <c r="B45" s="38">
        <v>10.0</v>
      </c>
      <c r="C45" s="38">
        <v>1000.0</v>
      </c>
      <c r="D45" s="38">
        <v>1.0</v>
      </c>
      <c r="E45" s="38">
        <f t="shared" si="4"/>
        <v>0.01</v>
      </c>
      <c r="G45" s="45"/>
      <c r="H45" s="41"/>
      <c r="I45" s="41"/>
      <c r="J45" s="45"/>
      <c r="K45" s="45"/>
    </row>
    <row r="46">
      <c r="A46" s="39" t="s">
        <v>295</v>
      </c>
      <c r="B46" s="39">
        <v>1.0</v>
      </c>
      <c r="C46" s="39">
        <v>1.0</v>
      </c>
      <c r="D46" s="39">
        <v>1.75</v>
      </c>
      <c r="E46" s="39">
        <v>2.2</v>
      </c>
      <c r="G46" s="46" t="s">
        <v>285</v>
      </c>
      <c r="H46" s="47" t="s">
        <v>286</v>
      </c>
      <c r="I46" s="46" t="s">
        <v>217</v>
      </c>
      <c r="J46" s="46" t="s">
        <v>232</v>
      </c>
      <c r="K46" s="45"/>
    </row>
    <row r="47">
      <c r="A47" s="39" t="s">
        <v>296</v>
      </c>
      <c r="B47" s="39">
        <v>2.0</v>
      </c>
      <c r="C47" s="39">
        <v>100.0</v>
      </c>
      <c r="D47" s="39">
        <v>11.0</v>
      </c>
      <c r="E47" s="38">
        <f t="shared" ref="E47:E48" si="6">B47*D47/C47</f>
        <v>0.22</v>
      </c>
      <c r="G47" s="39">
        <f>SUM(E49+K44)</f>
        <v>9.536441587</v>
      </c>
      <c r="H47" s="50">
        <v>30.0</v>
      </c>
      <c r="I47" s="39">
        <f>H47-G47</f>
        <v>20.46355841</v>
      </c>
      <c r="J47" s="39" t="str">
        <f>K43</f>
        <v/>
      </c>
      <c r="K47" s="45"/>
    </row>
    <row r="48">
      <c r="A48" s="39" t="s">
        <v>274</v>
      </c>
      <c r="B48" s="39">
        <v>20.0</v>
      </c>
      <c r="C48" s="39">
        <v>450.0</v>
      </c>
      <c r="D48" s="39">
        <v>4.99</v>
      </c>
      <c r="E48" s="38">
        <f t="shared" si="6"/>
        <v>0.2217777778</v>
      </c>
      <c r="G48" s="39"/>
      <c r="H48" s="50"/>
      <c r="I48" s="39"/>
      <c r="J48" s="39"/>
      <c r="K48" s="45"/>
    </row>
    <row r="49">
      <c r="A49" s="77"/>
      <c r="B49" s="77"/>
      <c r="C49" s="77"/>
      <c r="D49" s="77"/>
      <c r="E49" s="75">
        <f>SUM(E38:E48)</f>
        <v>8.709968254</v>
      </c>
      <c r="G49" s="38"/>
      <c r="H49" s="52"/>
      <c r="I49" s="38"/>
      <c r="J49" s="38"/>
    </row>
    <row r="50">
      <c r="G50" s="54" t="s">
        <v>287</v>
      </c>
      <c r="H50" s="55" t="s">
        <v>288</v>
      </c>
      <c r="I50" s="58"/>
      <c r="J50" s="58"/>
    </row>
    <row r="51">
      <c r="G51" s="58">
        <f>(E49*2)+K44</f>
        <v>18.24640984</v>
      </c>
      <c r="H51" s="59">
        <v>50.0</v>
      </c>
      <c r="I51" s="58">
        <f>H51-G51</f>
        <v>31.75359016</v>
      </c>
      <c r="J51" s="58" t="str">
        <f>K43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113"/>
      <c r="B3" s="114" t="s">
        <v>193</v>
      </c>
      <c r="C3" s="113" t="s">
        <v>297</v>
      </c>
      <c r="D3" s="113" t="s">
        <v>298</v>
      </c>
      <c r="E3" s="113" t="s">
        <v>299</v>
      </c>
      <c r="F3" s="113" t="s">
        <v>300</v>
      </c>
      <c r="G3" s="113" t="s">
        <v>247</v>
      </c>
      <c r="H3" s="113" t="s">
        <v>248</v>
      </c>
      <c r="I3" s="113" t="s">
        <v>249</v>
      </c>
      <c r="J3" s="113" t="s">
        <v>250</v>
      </c>
      <c r="K3" s="113" t="s">
        <v>301</v>
      </c>
      <c r="L3" s="113" t="s">
        <v>302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33"/>
      <c r="B4" s="115"/>
      <c r="C4" s="115"/>
      <c r="D4" s="115"/>
      <c r="E4" s="115"/>
      <c r="F4" s="115"/>
      <c r="G4" s="115"/>
      <c r="H4" s="115"/>
      <c r="I4" s="115"/>
      <c r="J4" s="116"/>
      <c r="K4" s="116"/>
      <c r="L4" s="11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117" t="s">
        <v>303</v>
      </c>
      <c r="B5" s="86" t="s">
        <v>205</v>
      </c>
      <c r="C5" s="83">
        <v>150.0</v>
      </c>
      <c r="D5" s="83">
        <v>180.0</v>
      </c>
      <c r="E5" s="83">
        <v>240.0</v>
      </c>
      <c r="F5" s="83">
        <v>270.0</v>
      </c>
      <c r="G5" s="86">
        <v>1000.0</v>
      </c>
      <c r="H5" s="87">
        <v>1.07</v>
      </c>
      <c r="I5" s="84">
        <f t="shared" ref="I5:I8" si="1">(C5*H5)/G5</f>
        <v>0.1605</v>
      </c>
      <c r="J5" s="118">
        <f t="shared" ref="J5:J7" si="2">D6*H6/G6</f>
        <v>1.25</v>
      </c>
      <c r="K5" s="118">
        <f t="shared" ref="K5:K8" si="3">(E5*H5)/G5</f>
        <v>0.2568</v>
      </c>
      <c r="L5" s="118">
        <f t="shared" ref="L5:L8" si="4">(F5*H5)/G5</f>
        <v>0.2889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117" t="s">
        <v>255</v>
      </c>
      <c r="B6" s="86" t="s">
        <v>203</v>
      </c>
      <c r="C6" s="86">
        <v>5.0</v>
      </c>
      <c r="D6" s="83">
        <v>6.0</v>
      </c>
      <c r="E6" s="83">
        <v>8.0</v>
      </c>
      <c r="F6" s="83">
        <v>9.0</v>
      </c>
      <c r="G6" s="86">
        <v>12.0</v>
      </c>
      <c r="H6" s="87">
        <v>2.5</v>
      </c>
      <c r="I6" s="84">
        <f t="shared" si="1"/>
        <v>1.041666667</v>
      </c>
      <c r="J6" s="118">
        <f t="shared" si="2"/>
        <v>0.2682</v>
      </c>
      <c r="K6" s="118">
        <f t="shared" si="3"/>
        <v>1.666666667</v>
      </c>
      <c r="L6" s="118">
        <f t="shared" si="4"/>
        <v>1.875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62"/>
      <c r="B7" s="86" t="s">
        <v>304</v>
      </c>
      <c r="C7" s="83">
        <v>150.0</v>
      </c>
      <c r="D7" s="83">
        <v>180.0</v>
      </c>
      <c r="E7" s="83">
        <v>240.0</v>
      </c>
      <c r="F7" s="83">
        <v>270.0</v>
      </c>
      <c r="G7" s="86">
        <v>1000.0</v>
      </c>
      <c r="H7" s="87">
        <v>1.49</v>
      </c>
      <c r="I7" s="84">
        <f t="shared" si="1"/>
        <v>0.2235</v>
      </c>
      <c r="J7" s="118">
        <f t="shared" si="2"/>
        <v>0.2923728814</v>
      </c>
      <c r="K7" s="118">
        <f t="shared" si="3"/>
        <v>0.3576</v>
      </c>
      <c r="L7" s="118">
        <f t="shared" si="4"/>
        <v>0.4023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62"/>
      <c r="B8" s="86" t="s">
        <v>207</v>
      </c>
      <c r="C8" s="83">
        <v>5.0</v>
      </c>
      <c r="D8" s="83">
        <v>10.0</v>
      </c>
      <c r="E8" s="83">
        <v>10.0</v>
      </c>
      <c r="F8" s="83">
        <v>15.0</v>
      </c>
      <c r="G8" s="83">
        <v>236.0</v>
      </c>
      <c r="H8" s="87">
        <v>6.9</v>
      </c>
      <c r="I8" s="84">
        <f t="shared" si="1"/>
        <v>0.1461864407</v>
      </c>
      <c r="J8" s="118">
        <f>D8*H8/G8</f>
        <v>0.2923728814</v>
      </c>
      <c r="K8" s="118">
        <f t="shared" si="3"/>
        <v>0.2923728814</v>
      </c>
      <c r="L8" s="118">
        <f t="shared" si="4"/>
        <v>0.438559322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33"/>
      <c r="B9" s="115"/>
      <c r="C9" s="115"/>
      <c r="D9" s="115"/>
      <c r="E9" s="115"/>
      <c r="F9" s="115"/>
      <c r="G9" s="115"/>
      <c r="H9" s="119"/>
      <c r="I9" s="120">
        <f t="shared" ref="I9:L9" si="5">SUM(I5:I8)</f>
        <v>1.571853107</v>
      </c>
      <c r="J9" s="118">
        <f t="shared" si="5"/>
        <v>2.102945763</v>
      </c>
      <c r="K9" s="121">
        <f t="shared" si="5"/>
        <v>2.573439548</v>
      </c>
      <c r="L9" s="121">
        <f t="shared" si="5"/>
        <v>3.004759322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45"/>
      <c r="B10" s="45"/>
      <c r="C10" s="45"/>
      <c r="D10" s="45"/>
      <c r="E10" s="45"/>
      <c r="F10" s="45"/>
      <c r="G10" s="122"/>
      <c r="H10" s="123"/>
      <c r="I10" s="124"/>
      <c r="J10" s="124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125"/>
      <c r="B11" s="126" t="s">
        <v>304</v>
      </c>
      <c r="C11" s="126">
        <v>100.0</v>
      </c>
      <c r="D11" s="126">
        <v>120.0</v>
      </c>
      <c r="E11" s="126">
        <v>150.0</v>
      </c>
      <c r="F11" s="126">
        <v>200.0</v>
      </c>
      <c r="G11" s="126">
        <v>1000.0</v>
      </c>
      <c r="H11" s="126">
        <v>1.49</v>
      </c>
      <c r="I11" s="127">
        <f t="shared" ref="I11:I13" si="6">(C11*H11)/G11</f>
        <v>0.149</v>
      </c>
      <c r="J11" s="128">
        <f t="shared" ref="J11:J13" si="7">D11*H11/G11</f>
        <v>0.1788</v>
      </c>
      <c r="K11" s="127">
        <f t="shared" ref="K11:K13" si="8">(E11*H11)/G11</f>
        <v>0.2235</v>
      </c>
      <c r="L11" s="127">
        <f t="shared" ref="L11:L13" si="9">(F11*H11)/G11</f>
        <v>0.298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129" t="s">
        <v>305</v>
      </c>
      <c r="B12" s="126" t="s">
        <v>206</v>
      </c>
      <c r="C12" s="126">
        <v>100.0</v>
      </c>
      <c r="D12" s="126">
        <v>120.0</v>
      </c>
      <c r="E12" s="126">
        <v>150.0</v>
      </c>
      <c r="F12" s="126">
        <v>200.0</v>
      </c>
      <c r="G12" s="126">
        <v>1000.0</v>
      </c>
      <c r="H12" s="126">
        <v>0.25</v>
      </c>
      <c r="I12" s="127">
        <f t="shared" si="6"/>
        <v>0.025</v>
      </c>
      <c r="J12" s="128">
        <f t="shared" si="7"/>
        <v>0.03</v>
      </c>
      <c r="K12" s="127">
        <f t="shared" si="8"/>
        <v>0.0375</v>
      </c>
      <c r="L12" s="127">
        <f t="shared" si="9"/>
        <v>0.05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125"/>
      <c r="B13" s="126" t="s">
        <v>207</v>
      </c>
      <c r="C13" s="126">
        <v>3.0</v>
      </c>
      <c r="D13" s="126">
        <v>4.0</v>
      </c>
      <c r="E13" s="126">
        <v>5.0</v>
      </c>
      <c r="F13" s="126">
        <v>9.0</v>
      </c>
      <c r="G13" s="126">
        <v>236.0</v>
      </c>
      <c r="H13" s="126">
        <v>6.9</v>
      </c>
      <c r="I13" s="127">
        <f t="shared" si="6"/>
        <v>0.08771186441</v>
      </c>
      <c r="J13" s="128">
        <f t="shared" si="7"/>
        <v>0.1169491525</v>
      </c>
      <c r="K13" s="127">
        <f t="shared" si="8"/>
        <v>0.1461864407</v>
      </c>
      <c r="L13" s="127">
        <f t="shared" si="9"/>
        <v>0.2631355932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125"/>
      <c r="B14" s="125"/>
      <c r="C14" s="125"/>
      <c r="D14" s="125"/>
      <c r="E14" s="125"/>
      <c r="F14" s="125"/>
      <c r="G14" s="125"/>
      <c r="H14" s="125"/>
      <c r="I14" s="130">
        <f t="shared" ref="I14:L14" si="10">SUM(I11:I13)</f>
        <v>0.2617118644</v>
      </c>
      <c r="J14" s="131">
        <f t="shared" si="10"/>
        <v>0.3257491525</v>
      </c>
      <c r="K14" s="130">
        <f t="shared" si="10"/>
        <v>0.4071864407</v>
      </c>
      <c r="L14" s="130">
        <f t="shared" si="10"/>
        <v>0.6111355932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132"/>
      <c r="C15" s="132"/>
      <c r="D15" s="132"/>
      <c r="E15" s="132"/>
      <c r="F15" s="132"/>
      <c r="G15" s="132"/>
      <c r="H15" s="133"/>
      <c r="I15" s="133"/>
      <c r="J15" s="133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134" t="s">
        <v>259</v>
      </c>
      <c r="B16" s="135" t="s">
        <v>306</v>
      </c>
      <c r="C16" s="135">
        <v>100.0</v>
      </c>
      <c r="D16" s="135">
        <v>200.0</v>
      </c>
      <c r="E16" s="135">
        <v>300.0</v>
      </c>
      <c r="F16" s="135">
        <v>400.0</v>
      </c>
      <c r="G16" s="135">
        <v>100.0</v>
      </c>
      <c r="H16" s="135">
        <v>1.27</v>
      </c>
      <c r="I16" s="136">
        <f t="shared" ref="I16:I20" si="11">(C16*H16)/G16</f>
        <v>1.27</v>
      </c>
      <c r="J16" s="128">
        <f t="shared" ref="J16:J20" si="12">D16*H16/G16</f>
        <v>2.54</v>
      </c>
      <c r="K16" s="136">
        <f t="shared" ref="K16:K20" si="13">(E16*H16)/G16</f>
        <v>3.81</v>
      </c>
      <c r="L16" s="136">
        <f t="shared" ref="L16:L20" si="14">(F16*H16)/G16</f>
        <v>5.08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134" t="s">
        <v>307</v>
      </c>
      <c r="B17" s="135" t="s">
        <v>308</v>
      </c>
      <c r="C17" s="135">
        <v>100.0</v>
      </c>
      <c r="D17" s="135">
        <v>200.0</v>
      </c>
      <c r="E17" s="135">
        <v>300.0</v>
      </c>
      <c r="F17" s="135">
        <v>400.0</v>
      </c>
      <c r="G17" s="135">
        <v>600.0</v>
      </c>
      <c r="H17" s="135">
        <v>2.36</v>
      </c>
      <c r="I17" s="136">
        <f t="shared" si="11"/>
        <v>0.3933333333</v>
      </c>
      <c r="J17" s="128">
        <f t="shared" si="12"/>
        <v>0.7866666667</v>
      </c>
      <c r="K17" s="136">
        <f t="shared" si="13"/>
        <v>1.18</v>
      </c>
      <c r="L17" s="136">
        <f t="shared" si="14"/>
        <v>1.573333333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134" t="s">
        <v>309</v>
      </c>
      <c r="B18" s="135" t="s">
        <v>304</v>
      </c>
      <c r="C18" s="135">
        <v>80.0</v>
      </c>
      <c r="D18" s="135">
        <v>80.0</v>
      </c>
      <c r="E18" s="135">
        <v>90.0</v>
      </c>
      <c r="F18" s="135">
        <v>100.0</v>
      </c>
      <c r="G18" s="135">
        <v>1000.0</v>
      </c>
      <c r="H18" s="135">
        <v>1.49</v>
      </c>
      <c r="I18" s="136">
        <f t="shared" si="11"/>
        <v>0.1192</v>
      </c>
      <c r="J18" s="128">
        <f t="shared" si="12"/>
        <v>0.1192</v>
      </c>
      <c r="K18" s="136">
        <f t="shared" si="13"/>
        <v>0.1341</v>
      </c>
      <c r="L18" s="136">
        <f t="shared" si="14"/>
        <v>0.149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125"/>
      <c r="B19" s="135" t="s">
        <v>207</v>
      </c>
      <c r="C19" s="135">
        <v>5.0</v>
      </c>
      <c r="D19" s="135">
        <v>5.0</v>
      </c>
      <c r="E19" s="135">
        <v>7.0</v>
      </c>
      <c r="F19" s="135">
        <v>9.0</v>
      </c>
      <c r="G19" s="135">
        <v>236.0</v>
      </c>
      <c r="H19" s="135">
        <v>6.9</v>
      </c>
      <c r="I19" s="136">
        <f t="shared" si="11"/>
        <v>0.1461864407</v>
      </c>
      <c r="J19" s="128">
        <f t="shared" si="12"/>
        <v>0.1461864407</v>
      </c>
      <c r="K19" s="136">
        <f t="shared" si="13"/>
        <v>0.2046610169</v>
      </c>
      <c r="L19" s="136">
        <f t="shared" si="14"/>
        <v>0.2631355932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125"/>
      <c r="B20" s="135" t="s">
        <v>310</v>
      </c>
      <c r="C20" s="135">
        <v>100.0</v>
      </c>
      <c r="D20" s="135">
        <v>200.0</v>
      </c>
      <c r="E20" s="135">
        <v>300.0</v>
      </c>
      <c r="F20" s="135">
        <v>400.0</v>
      </c>
      <c r="G20" s="135">
        <v>600.0</v>
      </c>
      <c r="H20" s="135">
        <v>2.36</v>
      </c>
      <c r="I20" s="136">
        <f t="shared" si="11"/>
        <v>0.3933333333</v>
      </c>
      <c r="J20" s="128">
        <f t="shared" si="12"/>
        <v>0.7866666667</v>
      </c>
      <c r="K20" s="136">
        <f t="shared" si="13"/>
        <v>1.18</v>
      </c>
      <c r="L20" s="136">
        <f t="shared" si="14"/>
        <v>1.573333333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125"/>
      <c r="B21" s="125"/>
      <c r="C21" s="125"/>
      <c r="D21" s="125"/>
      <c r="E21" s="125"/>
      <c r="F21" s="125"/>
      <c r="G21" s="125"/>
      <c r="H21" s="125"/>
      <c r="I21" s="137">
        <f t="shared" ref="I21:L21" si="15">SUM(I16:I20)</f>
        <v>2.322053107</v>
      </c>
      <c r="J21" s="131">
        <f t="shared" si="15"/>
        <v>4.378719774</v>
      </c>
      <c r="K21" s="137">
        <f t="shared" si="15"/>
        <v>6.508761017</v>
      </c>
      <c r="L21" s="137">
        <f t="shared" si="15"/>
        <v>8.63880226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132"/>
      <c r="C22" s="132"/>
      <c r="D22" s="132"/>
      <c r="E22" s="132"/>
      <c r="F22" s="132"/>
      <c r="G22" s="132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138" t="s">
        <v>311</v>
      </c>
      <c r="B23" s="139" t="s">
        <v>312</v>
      </c>
      <c r="C23" s="139">
        <v>180.0</v>
      </c>
      <c r="D23" s="139">
        <v>180.0</v>
      </c>
      <c r="E23" s="139">
        <v>360.0</v>
      </c>
      <c r="F23" s="139">
        <v>360.0</v>
      </c>
      <c r="G23" s="139">
        <v>1000.0</v>
      </c>
      <c r="H23" s="139">
        <v>1.49</v>
      </c>
      <c r="I23" s="140">
        <f t="shared" ref="I23:I26" si="16">(C23*H23)/G23</f>
        <v>0.2682</v>
      </c>
      <c r="J23" s="128">
        <f t="shared" ref="J23:J26" si="17">D23*H23/G23</f>
        <v>0.2682</v>
      </c>
      <c r="K23" s="140">
        <f t="shared" ref="K23:K26" si="18">(E23*H23)/G23</f>
        <v>0.5364</v>
      </c>
      <c r="L23" s="140">
        <f t="shared" ref="L23:L26" si="19">(F23*H23)/G23</f>
        <v>0.5364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138" t="s">
        <v>313</v>
      </c>
      <c r="B24" s="139" t="s">
        <v>314</v>
      </c>
      <c r="C24" s="139">
        <v>60.0</v>
      </c>
      <c r="D24" s="139">
        <v>60.0</v>
      </c>
      <c r="E24" s="139">
        <v>120.0</v>
      </c>
      <c r="F24" s="139">
        <v>120.0</v>
      </c>
      <c r="G24" s="139">
        <v>1000.0</v>
      </c>
      <c r="H24" s="139">
        <v>1.0</v>
      </c>
      <c r="I24" s="140">
        <f t="shared" si="16"/>
        <v>0.06</v>
      </c>
      <c r="J24" s="128">
        <f t="shared" si="17"/>
        <v>0.06</v>
      </c>
      <c r="K24" s="140">
        <f t="shared" si="18"/>
        <v>0.12</v>
      </c>
      <c r="L24" s="140">
        <f t="shared" si="19"/>
        <v>0.12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138" t="s">
        <v>315</v>
      </c>
      <c r="B25" s="139" t="s">
        <v>316</v>
      </c>
      <c r="C25" s="139">
        <v>4.0</v>
      </c>
      <c r="D25" s="139">
        <v>4.0</v>
      </c>
      <c r="E25" s="139">
        <v>8.0</v>
      </c>
      <c r="F25" s="139">
        <v>8.0</v>
      </c>
      <c r="G25" s="139">
        <v>12.0</v>
      </c>
      <c r="H25" s="139">
        <v>2.5</v>
      </c>
      <c r="I25" s="140">
        <f t="shared" si="16"/>
        <v>0.8333333333</v>
      </c>
      <c r="J25" s="128">
        <f t="shared" si="17"/>
        <v>0.8333333333</v>
      </c>
      <c r="K25" s="140">
        <f t="shared" si="18"/>
        <v>1.666666667</v>
      </c>
      <c r="L25" s="140">
        <f t="shared" si="19"/>
        <v>1.666666667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141"/>
      <c r="B26" s="139" t="s">
        <v>257</v>
      </c>
      <c r="C26" s="139">
        <v>7.0</v>
      </c>
      <c r="D26" s="139">
        <v>7.0</v>
      </c>
      <c r="E26" s="139">
        <v>14.0</v>
      </c>
      <c r="F26" s="139">
        <v>14.0</v>
      </c>
      <c r="G26" s="139">
        <v>400.0</v>
      </c>
      <c r="H26" s="139">
        <v>4.0</v>
      </c>
      <c r="I26" s="140">
        <f t="shared" si="16"/>
        <v>0.07</v>
      </c>
      <c r="J26" s="128">
        <f t="shared" si="17"/>
        <v>0.07</v>
      </c>
      <c r="K26" s="140">
        <f t="shared" si="18"/>
        <v>0.14</v>
      </c>
      <c r="L26" s="140">
        <f t="shared" si="19"/>
        <v>0.14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125"/>
      <c r="B27" s="125"/>
      <c r="C27" s="125"/>
      <c r="D27" s="125"/>
      <c r="E27" s="125"/>
      <c r="F27" s="125"/>
      <c r="G27" s="125"/>
      <c r="H27" s="125"/>
      <c r="I27" s="142">
        <f t="shared" ref="I27:L27" si="20">SUM(I23:I26)</f>
        <v>1.231533333</v>
      </c>
      <c r="J27" s="131">
        <f t="shared" si="20"/>
        <v>1.231533333</v>
      </c>
      <c r="K27" s="142">
        <f t="shared" si="20"/>
        <v>2.463066667</v>
      </c>
      <c r="L27" s="142">
        <f t="shared" si="20"/>
        <v>2.463066667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125"/>
      <c r="B28" s="125"/>
      <c r="C28" s="125"/>
      <c r="D28" s="125"/>
      <c r="E28" s="125"/>
      <c r="F28" s="125"/>
      <c r="G28" s="125"/>
      <c r="H28" s="125"/>
      <c r="I28" s="125"/>
      <c r="J28" s="128"/>
      <c r="K28" s="125"/>
      <c r="L28" s="125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125"/>
      <c r="B29" s="143" t="s">
        <v>317</v>
      </c>
      <c r="C29" s="144">
        <v>1.0</v>
      </c>
      <c r="D29" s="144">
        <v>1.0</v>
      </c>
      <c r="E29" s="144">
        <v>1.0</v>
      </c>
      <c r="F29" s="144">
        <v>1.0</v>
      </c>
      <c r="G29" s="143">
        <v>20.0</v>
      </c>
      <c r="H29" s="143">
        <v>1.13</v>
      </c>
      <c r="I29" s="144">
        <f t="shared" ref="I29:I34" si="21">(C29*H29)/G29</f>
        <v>0.0565</v>
      </c>
      <c r="J29" s="128">
        <f t="shared" ref="J29:J34" si="22">D29*H29/G29</f>
        <v>0.0565</v>
      </c>
      <c r="K29" s="144">
        <f t="shared" ref="K29:K34" si="23">(C29*H29)/G29</f>
        <v>0.0565</v>
      </c>
      <c r="L29" s="144">
        <f t="shared" ref="L29:L34" si="24">(F29*H29)/G29</f>
        <v>0.0565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125"/>
      <c r="B30" s="143" t="s">
        <v>318</v>
      </c>
      <c r="C30" s="144">
        <v>1.0</v>
      </c>
      <c r="D30" s="144">
        <v>1.0</v>
      </c>
      <c r="E30" s="144">
        <v>1.0</v>
      </c>
      <c r="F30" s="144">
        <v>1.0</v>
      </c>
      <c r="G30" s="143">
        <v>1000.0</v>
      </c>
      <c r="H30" s="143">
        <v>2.05</v>
      </c>
      <c r="I30" s="144">
        <f t="shared" si="21"/>
        <v>0.00205</v>
      </c>
      <c r="J30" s="128">
        <f t="shared" si="22"/>
        <v>0.00205</v>
      </c>
      <c r="K30" s="144">
        <f t="shared" si="23"/>
        <v>0.00205</v>
      </c>
      <c r="L30" s="144">
        <f t="shared" si="24"/>
        <v>0.00205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125"/>
      <c r="B31" s="143" t="s">
        <v>204</v>
      </c>
      <c r="C31" s="143">
        <v>30.0</v>
      </c>
      <c r="D31" s="143">
        <v>30.0</v>
      </c>
      <c r="E31" s="143">
        <v>35.0</v>
      </c>
      <c r="F31" s="143">
        <v>40.0</v>
      </c>
      <c r="G31" s="143">
        <v>60.0</v>
      </c>
      <c r="H31" s="143">
        <v>1.0</v>
      </c>
      <c r="I31" s="144">
        <f t="shared" si="21"/>
        <v>0.5</v>
      </c>
      <c r="J31" s="128">
        <f t="shared" si="22"/>
        <v>0.5</v>
      </c>
      <c r="K31" s="144">
        <f t="shared" si="23"/>
        <v>0.5</v>
      </c>
      <c r="L31" s="144">
        <f t="shared" si="24"/>
        <v>0.6666666667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145" t="s">
        <v>319</v>
      </c>
      <c r="B32" s="143" t="s">
        <v>206</v>
      </c>
      <c r="C32" s="143">
        <v>12.0</v>
      </c>
      <c r="D32" s="143">
        <v>12.0</v>
      </c>
      <c r="E32" s="143">
        <v>12.0</v>
      </c>
      <c r="F32" s="143">
        <v>12.0</v>
      </c>
      <c r="G32" s="143">
        <v>1000.0</v>
      </c>
      <c r="H32" s="143">
        <v>1.97</v>
      </c>
      <c r="I32" s="144">
        <f t="shared" si="21"/>
        <v>0.02364</v>
      </c>
      <c r="J32" s="128">
        <f t="shared" si="22"/>
        <v>0.02364</v>
      </c>
      <c r="K32" s="144">
        <f t="shared" si="23"/>
        <v>0.02364</v>
      </c>
      <c r="L32" s="144">
        <f t="shared" si="24"/>
        <v>0.02364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145" t="s">
        <v>320</v>
      </c>
      <c r="B33" s="143" t="s">
        <v>208</v>
      </c>
      <c r="C33" s="143">
        <v>12.0</v>
      </c>
      <c r="D33" s="143">
        <v>12.0</v>
      </c>
      <c r="E33" s="143">
        <v>12.0</v>
      </c>
      <c r="F33" s="143">
        <v>12.0</v>
      </c>
      <c r="G33" s="143">
        <v>60.0</v>
      </c>
      <c r="H33" s="143">
        <v>1.0</v>
      </c>
      <c r="I33" s="144">
        <f t="shared" si="21"/>
        <v>0.2</v>
      </c>
      <c r="J33" s="128">
        <f t="shared" si="22"/>
        <v>0.2</v>
      </c>
      <c r="K33" s="144">
        <f t="shared" si="23"/>
        <v>0.2</v>
      </c>
      <c r="L33" s="144">
        <f t="shared" si="24"/>
        <v>0.2</v>
      </c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125"/>
      <c r="B34" s="143" t="s">
        <v>321</v>
      </c>
      <c r="C34" s="143">
        <v>2.0</v>
      </c>
      <c r="D34" s="143">
        <v>2.0</v>
      </c>
      <c r="E34" s="143">
        <v>2.0</v>
      </c>
      <c r="F34" s="143">
        <v>22.0</v>
      </c>
      <c r="G34" s="143">
        <v>12.0</v>
      </c>
      <c r="H34" s="143">
        <v>2.5</v>
      </c>
      <c r="I34" s="144">
        <f t="shared" si="21"/>
        <v>0.4166666667</v>
      </c>
      <c r="J34" s="128">
        <f t="shared" si="22"/>
        <v>0.4166666667</v>
      </c>
      <c r="K34" s="144">
        <f t="shared" si="23"/>
        <v>0.4166666667</v>
      </c>
      <c r="L34" s="144">
        <f t="shared" si="24"/>
        <v>4.583333333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125"/>
      <c r="B35" s="144"/>
      <c r="C35" s="144"/>
      <c r="D35" s="144"/>
      <c r="E35" s="144"/>
      <c r="F35" s="144"/>
      <c r="G35" s="144"/>
      <c r="H35" s="144"/>
      <c r="I35" s="144"/>
      <c r="J35" s="128"/>
      <c r="K35" s="144"/>
      <c r="L35" s="144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125"/>
      <c r="B36" s="144"/>
      <c r="C36" s="144"/>
      <c r="D36" s="144"/>
      <c r="E36" s="144"/>
      <c r="F36" s="144"/>
      <c r="G36" s="144"/>
      <c r="H36" s="144"/>
      <c r="I36" s="144"/>
      <c r="J36" s="128"/>
      <c r="K36" s="144"/>
      <c r="L36" s="144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125"/>
      <c r="B37" s="146"/>
      <c r="C37" s="146"/>
      <c r="D37" s="146"/>
      <c r="E37" s="146"/>
      <c r="F37" s="146"/>
      <c r="G37" s="146"/>
      <c r="H37" s="146"/>
      <c r="I37" s="147">
        <f t="shared" ref="I37:L37" si="25">SUM(I29:I36)</f>
        <v>1.198856667</v>
      </c>
      <c r="J37" s="128">
        <f t="shared" si="25"/>
        <v>1.198856667</v>
      </c>
      <c r="K37" s="147">
        <f t="shared" si="25"/>
        <v>1.198856667</v>
      </c>
      <c r="L37" s="147">
        <f t="shared" si="25"/>
        <v>5.53219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8"/>
      <c r="K38" s="125"/>
      <c r="L38" s="125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125"/>
      <c r="B39" s="125"/>
      <c r="C39" s="125"/>
      <c r="D39" s="125"/>
      <c r="E39" s="125"/>
      <c r="F39" s="125"/>
      <c r="G39" s="125"/>
      <c r="H39" s="125"/>
      <c r="I39" s="125"/>
      <c r="J39" s="128"/>
      <c r="K39" s="125"/>
      <c r="L39" s="125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125"/>
      <c r="B40" s="148" t="s">
        <v>322</v>
      </c>
      <c r="C40" s="148">
        <v>1.0</v>
      </c>
      <c r="D40" s="148">
        <v>1.0</v>
      </c>
      <c r="E40" s="148">
        <v>1.0</v>
      </c>
      <c r="F40" s="148">
        <v>1.0</v>
      </c>
      <c r="G40" s="148">
        <v>1.0</v>
      </c>
      <c r="H40" s="148">
        <v>1.8</v>
      </c>
      <c r="I40" s="149">
        <f t="shared" ref="I40:I47" si="26">(C40*H40)/G40</f>
        <v>1.8</v>
      </c>
      <c r="J40" s="128">
        <f t="shared" ref="J40:J47" si="27">D40*H40/G40</f>
        <v>1.8</v>
      </c>
      <c r="K40" s="149">
        <f t="shared" ref="K40:K47" si="28">(C40*H40)/G40</f>
        <v>1.8</v>
      </c>
      <c r="L40" s="149">
        <f t="shared" ref="L40:L47" si="29">(F40*H40)/G40</f>
        <v>1.8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141"/>
      <c r="B41" s="148" t="s">
        <v>323</v>
      </c>
      <c r="C41" s="148">
        <v>1.0</v>
      </c>
      <c r="D41" s="148">
        <v>1.0</v>
      </c>
      <c r="E41" s="148">
        <v>1.0</v>
      </c>
      <c r="F41" s="148">
        <v>1.0</v>
      </c>
      <c r="G41" s="148">
        <v>6.0</v>
      </c>
      <c r="H41" s="148">
        <v>1.0</v>
      </c>
      <c r="I41" s="149">
        <f t="shared" si="26"/>
        <v>0.1666666667</v>
      </c>
      <c r="J41" s="128">
        <f t="shared" si="27"/>
        <v>0.1666666667</v>
      </c>
      <c r="K41" s="149">
        <f t="shared" si="28"/>
        <v>0.1666666667</v>
      </c>
      <c r="L41" s="149">
        <f t="shared" si="29"/>
        <v>0.1666666667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125"/>
      <c r="B42" s="148" t="s">
        <v>324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0.9</v>
      </c>
      <c r="I42" s="149">
        <f t="shared" si="26"/>
        <v>0.9</v>
      </c>
      <c r="J42" s="128">
        <f t="shared" si="27"/>
        <v>0.9</v>
      </c>
      <c r="K42" s="149">
        <f t="shared" si="28"/>
        <v>0.9</v>
      </c>
      <c r="L42" s="149">
        <f t="shared" si="29"/>
        <v>0.9</v>
      </c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150" t="s">
        <v>325</v>
      </c>
      <c r="B43" s="148" t="s">
        <v>326</v>
      </c>
      <c r="C43" s="148">
        <v>1.0</v>
      </c>
      <c r="D43" s="148">
        <v>1.0</v>
      </c>
      <c r="E43" s="148">
        <v>1.0</v>
      </c>
      <c r="F43" s="148">
        <v>1.0</v>
      </c>
      <c r="G43" s="148">
        <v>1.0</v>
      </c>
      <c r="H43" s="148">
        <v>2.0</v>
      </c>
      <c r="I43" s="149">
        <f t="shared" si="26"/>
        <v>2</v>
      </c>
      <c r="J43" s="128">
        <f t="shared" si="27"/>
        <v>2</v>
      </c>
      <c r="K43" s="149">
        <f t="shared" si="28"/>
        <v>2</v>
      </c>
      <c r="L43" s="149">
        <f t="shared" si="29"/>
        <v>2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125"/>
      <c r="B44" s="148" t="s">
        <v>327</v>
      </c>
      <c r="C44" s="148">
        <v>1.0</v>
      </c>
      <c r="D44" s="148">
        <v>1.0</v>
      </c>
      <c r="E44" s="148">
        <v>1.0</v>
      </c>
      <c r="F44" s="148">
        <v>1.0</v>
      </c>
      <c r="G44" s="148">
        <v>500.0</v>
      </c>
      <c r="H44" s="148">
        <v>0.85</v>
      </c>
      <c r="I44" s="149">
        <f t="shared" si="26"/>
        <v>0.0017</v>
      </c>
      <c r="J44" s="128">
        <f t="shared" si="27"/>
        <v>0.0017</v>
      </c>
      <c r="K44" s="149">
        <f t="shared" si="28"/>
        <v>0.0017</v>
      </c>
      <c r="L44" s="149">
        <f t="shared" si="29"/>
        <v>0.0017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125"/>
      <c r="B45" s="148" t="s">
        <v>328</v>
      </c>
      <c r="C45" s="148">
        <v>2.0</v>
      </c>
      <c r="D45" s="148">
        <v>2.0</v>
      </c>
      <c r="E45" s="148">
        <v>2.0</v>
      </c>
      <c r="F45" s="148">
        <v>2.0</v>
      </c>
      <c r="G45" s="148">
        <v>2.0</v>
      </c>
      <c r="H45" s="148">
        <v>0.18</v>
      </c>
      <c r="I45" s="149">
        <f t="shared" si="26"/>
        <v>0.18</v>
      </c>
      <c r="J45" s="128">
        <f t="shared" si="27"/>
        <v>0.18</v>
      </c>
      <c r="K45" s="149">
        <f t="shared" si="28"/>
        <v>0.18</v>
      </c>
      <c r="L45" s="149">
        <f t="shared" si="29"/>
        <v>0.18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125"/>
      <c r="B46" s="148" t="s">
        <v>329</v>
      </c>
      <c r="C46" s="148">
        <v>10.0</v>
      </c>
      <c r="D46" s="148">
        <v>10.0</v>
      </c>
      <c r="E46" s="148">
        <v>10.0</v>
      </c>
      <c r="F46" s="148">
        <v>10.0</v>
      </c>
      <c r="G46" s="148">
        <v>100.0</v>
      </c>
      <c r="H46" s="148">
        <v>6.0</v>
      </c>
      <c r="I46" s="149">
        <f t="shared" si="26"/>
        <v>0.6</v>
      </c>
      <c r="J46" s="128">
        <f t="shared" si="27"/>
        <v>0.6</v>
      </c>
      <c r="K46" s="149">
        <f t="shared" si="28"/>
        <v>0.6</v>
      </c>
      <c r="L46" s="149">
        <f t="shared" si="29"/>
        <v>0.6</v>
      </c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125"/>
      <c r="B47" s="148" t="s">
        <v>330</v>
      </c>
      <c r="C47" s="148">
        <v>3.0</v>
      </c>
      <c r="D47" s="148">
        <v>3.0</v>
      </c>
      <c r="E47" s="148">
        <v>3.0</v>
      </c>
      <c r="F47" s="148">
        <v>3.0</v>
      </c>
      <c r="G47" s="148">
        <v>10.0</v>
      </c>
      <c r="H47" s="148">
        <v>1.0</v>
      </c>
      <c r="I47" s="149">
        <f t="shared" si="26"/>
        <v>0.3</v>
      </c>
      <c r="J47" s="128">
        <f t="shared" si="27"/>
        <v>0.3</v>
      </c>
      <c r="K47" s="149">
        <f t="shared" si="28"/>
        <v>0.3</v>
      </c>
      <c r="L47" s="149">
        <f t="shared" si="29"/>
        <v>0.3</v>
      </c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125"/>
      <c r="B48" s="125"/>
      <c r="C48" s="125"/>
      <c r="D48" s="125"/>
      <c r="E48" s="125"/>
      <c r="F48" s="125"/>
      <c r="G48" s="125"/>
      <c r="H48" s="125"/>
      <c r="I48" s="151">
        <f t="shared" ref="I48:L48" si="30">SUM(I40:I47)</f>
        <v>5.948366667</v>
      </c>
      <c r="J48" s="131">
        <f t="shared" si="30"/>
        <v>5.948366667</v>
      </c>
      <c r="K48" s="151">
        <f t="shared" si="30"/>
        <v>5.948366667</v>
      </c>
      <c r="L48" s="151">
        <f t="shared" si="30"/>
        <v>5.948366667</v>
      </c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132"/>
      <c r="C49" s="132"/>
      <c r="D49" s="132"/>
      <c r="E49" s="132"/>
      <c r="F49" s="132"/>
      <c r="G49" s="132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152" t="s">
        <v>331</v>
      </c>
      <c r="I50" s="153">
        <f t="shared" ref="I50:L50" si="31">SUM(I9+I14+I21+I27+I37+I48)</f>
        <v>12.53437475</v>
      </c>
      <c r="J50" s="153">
        <f t="shared" si="31"/>
        <v>15.18617136</v>
      </c>
      <c r="K50" s="153">
        <f t="shared" si="31"/>
        <v>19.09967701</v>
      </c>
      <c r="L50" s="153">
        <f t="shared" si="31"/>
        <v>26.19832051</v>
      </c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154" t="s">
        <v>238</v>
      </c>
      <c r="I51" s="154">
        <v>30.0</v>
      </c>
      <c r="J51" s="154">
        <v>35.0</v>
      </c>
      <c r="K51" s="154">
        <v>40.0</v>
      </c>
      <c r="L51" s="154">
        <v>45.0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152" t="s">
        <v>10</v>
      </c>
      <c r="I52" s="153">
        <f t="shared" ref="I52:L52" si="32">I51-I50</f>
        <v>17.46562525</v>
      </c>
      <c r="J52" s="153">
        <f t="shared" si="32"/>
        <v>19.81382864</v>
      </c>
      <c r="K52" s="153">
        <f t="shared" si="32"/>
        <v>20.90032299</v>
      </c>
      <c r="L52" s="153">
        <f t="shared" si="32"/>
        <v>18.80167949</v>
      </c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155"/>
      <c r="C54" s="57"/>
      <c r="D54" s="156"/>
      <c r="E54" s="156"/>
      <c r="F54" s="156"/>
      <c r="G54" s="57"/>
      <c r="H54" s="157"/>
      <c r="I54" s="157"/>
      <c r="J54" s="1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155"/>
      <c r="C55" s="57"/>
      <c r="D55" s="124"/>
      <c r="E55" s="156"/>
      <c r="F55" s="156"/>
      <c r="G55" s="132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124"/>
      <c r="E56" s="156"/>
      <c r="F56" s="156"/>
      <c r="G56" s="132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156"/>
      <c r="H57" s="156"/>
      <c r="I57" s="156"/>
      <c r="J57" s="156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132"/>
      <c r="H58" s="158"/>
      <c r="I58" s="158"/>
      <c r="J58" s="158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132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132"/>
      <c r="H60" s="132"/>
      <c r="I60" s="132"/>
      <c r="J60" s="132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132"/>
      <c r="H62" s="159"/>
      <c r="I62" s="159"/>
      <c r="J62" s="159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8" max="8" width="14.63"/>
    <col customWidth="1" min="9" max="9" width="14.75"/>
    <col customWidth="1" min="10" max="10" width="15.75"/>
    <col customWidth="1" min="11" max="11" width="13.38"/>
  </cols>
  <sheetData>
    <row r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5"/>
      <c r="C3" s="141" t="s">
        <v>332</v>
      </c>
      <c r="D3" s="141" t="s">
        <v>333</v>
      </c>
      <c r="E3" s="141" t="s">
        <v>334</v>
      </c>
      <c r="F3" s="141" t="s">
        <v>335</v>
      </c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14" t="s">
        <v>193</v>
      </c>
      <c r="C4" s="113" t="s">
        <v>115</v>
      </c>
      <c r="D4" s="113" t="s">
        <v>336</v>
      </c>
      <c r="E4" s="113" t="s">
        <v>117</v>
      </c>
      <c r="F4" s="113" t="s">
        <v>337</v>
      </c>
      <c r="G4" s="113" t="s">
        <v>247</v>
      </c>
      <c r="H4" s="113" t="s">
        <v>248</v>
      </c>
      <c r="I4" s="113" t="s">
        <v>338</v>
      </c>
      <c r="J4" s="113" t="s">
        <v>339</v>
      </c>
      <c r="K4" s="113" t="s">
        <v>340</v>
      </c>
      <c r="L4" s="141" t="s">
        <v>341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62"/>
      <c r="B5" s="160" t="s">
        <v>205</v>
      </c>
      <c r="C5" s="161">
        <v>140.0</v>
      </c>
      <c r="D5" s="161">
        <v>170.0</v>
      </c>
      <c r="E5" s="161">
        <v>230.0</v>
      </c>
      <c r="F5" s="161">
        <v>260.0</v>
      </c>
      <c r="G5" s="160">
        <v>1000.0</v>
      </c>
      <c r="H5" s="162">
        <v>1.07</v>
      </c>
      <c r="I5" s="163">
        <f t="shared" ref="I5:I11" si="1">(C5*H5)/G5</f>
        <v>0.1498</v>
      </c>
      <c r="J5" s="118">
        <f t="shared" ref="J5:J10" si="2">D6*H6/G6</f>
        <v>1.25</v>
      </c>
      <c r="K5" s="164">
        <f t="shared" ref="K5:K11" si="3">(E5*H5)/G5</f>
        <v>0.2461</v>
      </c>
      <c r="L5" s="164">
        <f t="shared" ref="L5:L11" si="4">(F5*H5)/G5</f>
        <v>0.2782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165" t="s">
        <v>342</v>
      </c>
      <c r="B6" s="160" t="s">
        <v>203</v>
      </c>
      <c r="C6" s="160">
        <v>5.0</v>
      </c>
      <c r="D6" s="161">
        <v>6.0</v>
      </c>
      <c r="E6" s="161">
        <v>8.0</v>
      </c>
      <c r="F6" s="161">
        <v>9.0</v>
      </c>
      <c r="G6" s="160">
        <v>12.0</v>
      </c>
      <c r="H6" s="162">
        <v>2.5</v>
      </c>
      <c r="I6" s="163">
        <f t="shared" si="1"/>
        <v>1.041666667</v>
      </c>
      <c r="J6" s="118">
        <f t="shared" si="2"/>
        <v>0.225</v>
      </c>
      <c r="K6" s="164">
        <f t="shared" si="3"/>
        <v>1.666666667</v>
      </c>
      <c r="L6" s="164">
        <f t="shared" si="4"/>
        <v>1.875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65" t="s">
        <v>306</v>
      </c>
      <c r="B7" s="160" t="s">
        <v>304</v>
      </c>
      <c r="C7" s="160">
        <v>150.0</v>
      </c>
      <c r="D7" s="161">
        <v>180.0</v>
      </c>
      <c r="E7" s="161">
        <v>240.0</v>
      </c>
      <c r="F7" s="161">
        <v>270.0</v>
      </c>
      <c r="G7" s="160">
        <v>1000.0</v>
      </c>
      <c r="H7" s="162">
        <v>1.25</v>
      </c>
      <c r="I7" s="163">
        <f t="shared" si="1"/>
        <v>0.1875</v>
      </c>
      <c r="J7" s="118">
        <f t="shared" si="2"/>
        <v>0.2923728814</v>
      </c>
      <c r="K7" s="164">
        <f t="shared" si="3"/>
        <v>0.3</v>
      </c>
      <c r="L7" s="164">
        <f t="shared" si="4"/>
        <v>0.3375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62"/>
      <c r="B8" s="160" t="s">
        <v>207</v>
      </c>
      <c r="C8" s="161">
        <v>5.0</v>
      </c>
      <c r="D8" s="161">
        <v>10.0</v>
      </c>
      <c r="E8" s="161">
        <v>10.0</v>
      </c>
      <c r="F8" s="161">
        <v>10.0</v>
      </c>
      <c r="G8" s="161">
        <v>236.0</v>
      </c>
      <c r="H8" s="162">
        <v>6.9</v>
      </c>
      <c r="I8" s="163">
        <f t="shared" si="1"/>
        <v>0.1461864407</v>
      </c>
      <c r="J8" s="118">
        <f t="shared" si="2"/>
        <v>0.2272727273</v>
      </c>
      <c r="K8" s="164">
        <f t="shared" si="3"/>
        <v>0.2923728814</v>
      </c>
      <c r="L8" s="164">
        <f t="shared" si="4"/>
        <v>0.2923728814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33"/>
      <c r="B9" s="166" t="s">
        <v>343</v>
      </c>
      <c r="C9" s="166">
        <v>40.0</v>
      </c>
      <c r="D9" s="166">
        <v>50.0</v>
      </c>
      <c r="E9" s="166">
        <v>60.0</v>
      </c>
      <c r="F9" s="166">
        <v>70.0</v>
      </c>
      <c r="G9" s="166">
        <v>220.0</v>
      </c>
      <c r="H9" s="167">
        <v>1.0</v>
      </c>
      <c r="I9" s="163">
        <f t="shared" si="1"/>
        <v>0.1818181818</v>
      </c>
      <c r="J9" s="118">
        <f t="shared" si="2"/>
        <v>0.72</v>
      </c>
      <c r="K9" s="164">
        <f t="shared" si="3"/>
        <v>0.2727272727</v>
      </c>
      <c r="L9" s="164">
        <f t="shared" si="4"/>
        <v>0.3181818182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33"/>
      <c r="B10" s="166" t="s">
        <v>274</v>
      </c>
      <c r="C10" s="166">
        <v>30.0</v>
      </c>
      <c r="D10" s="166">
        <v>30.0</v>
      </c>
      <c r="E10" s="166">
        <v>40.0</v>
      </c>
      <c r="F10" s="166">
        <v>50.0</v>
      </c>
      <c r="G10" s="166">
        <v>250.0</v>
      </c>
      <c r="H10" s="167">
        <v>6.0</v>
      </c>
      <c r="I10" s="163">
        <f t="shared" si="1"/>
        <v>0.72</v>
      </c>
      <c r="J10" s="118">
        <f t="shared" si="2"/>
        <v>0.07475</v>
      </c>
      <c r="K10" s="164">
        <f t="shared" si="3"/>
        <v>0.96</v>
      </c>
      <c r="L10" s="164">
        <f t="shared" si="4"/>
        <v>1.2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33"/>
      <c r="B11" s="166" t="s">
        <v>244</v>
      </c>
      <c r="C11" s="166">
        <v>20.0</v>
      </c>
      <c r="D11" s="166">
        <v>10.0</v>
      </c>
      <c r="E11" s="166">
        <v>10.0</v>
      </c>
      <c r="F11" s="166">
        <v>10.0</v>
      </c>
      <c r="G11" s="166">
        <v>400.0</v>
      </c>
      <c r="H11" s="167">
        <v>2.99</v>
      </c>
      <c r="I11" s="163">
        <f t="shared" si="1"/>
        <v>0.1495</v>
      </c>
      <c r="J11" s="118">
        <f>D11*H11/G11</f>
        <v>0.07475</v>
      </c>
      <c r="K11" s="164">
        <f t="shared" si="3"/>
        <v>0.07475</v>
      </c>
      <c r="L11" s="164">
        <f t="shared" si="4"/>
        <v>0.07475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33"/>
      <c r="B12" s="77"/>
      <c r="C12" s="77"/>
      <c r="D12" s="77"/>
      <c r="E12" s="77"/>
      <c r="F12" s="77"/>
      <c r="G12" s="77"/>
      <c r="H12" s="168"/>
      <c r="I12" s="169">
        <f t="shared" ref="I12:L12" si="5">SUM(I5:I11)</f>
        <v>2.576471289</v>
      </c>
      <c r="J12" s="121">
        <f t="shared" si="5"/>
        <v>2.864145609</v>
      </c>
      <c r="K12" s="170">
        <f t="shared" si="5"/>
        <v>3.812616821</v>
      </c>
      <c r="L12" s="170">
        <f t="shared" si="5"/>
        <v>4.3760047</v>
      </c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5"/>
      <c r="B14" s="126" t="s">
        <v>304</v>
      </c>
      <c r="C14" s="126">
        <v>100.0</v>
      </c>
      <c r="D14" s="126">
        <v>120.0</v>
      </c>
      <c r="E14" s="126">
        <v>150.0</v>
      </c>
      <c r="F14" s="126">
        <v>200.0</v>
      </c>
      <c r="G14" s="126">
        <v>1000.0</v>
      </c>
      <c r="H14" s="126">
        <v>1.25</v>
      </c>
      <c r="I14" s="127">
        <f t="shared" ref="I14:I16" si="6">(C14*H14)/G14</f>
        <v>0.125</v>
      </c>
      <c r="J14" s="128">
        <f t="shared" ref="J14:J16" si="7">D14*H14/G14</f>
        <v>0.15</v>
      </c>
      <c r="K14" s="127">
        <f t="shared" ref="K14:K16" si="8">(E14*H14)/G14</f>
        <v>0.1875</v>
      </c>
      <c r="L14" s="127">
        <f t="shared" ref="L14:L16" si="9">(F14*H14)/G14</f>
        <v>0.25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9" t="s">
        <v>305</v>
      </c>
      <c r="B15" s="126" t="s">
        <v>206</v>
      </c>
      <c r="C15" s="126">
        <v>100.0</v>
      </c>
      <c r="D15" s="126">
        <v>120.0</v>
      </c>
      <c r="E15" s="126">
        <v>150.0</v>
      </c>
      <c r="F15" s="126">
        <v>200.0</v>
      </c>
      <c r="G15" s="126">
        <v>1000.0</v>
      </c>
      <c r="H15" s="126">
        <v>0.25</v>
      </c>
      <c r="I15" s="127">
        <f t="shared" si="6"/>
        <v>0.025</v>
      </c>
      <c r="J15" s="128">
        <f t="shared" si="7"/>
        <v>0.03</v>
      </c>
      <c r="K15" s="127">
        <f t="shared" si="8"/>
        <v>0.0375</v>
      </c>
      <c r="L15" s="127">
        <f t="shared" si="9"/>
        <v>0.05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6" t="s">
        <v>207</v>
      </c>
      <c r="C16" s="126">
        <v>3.0</v>
      </c>
      <c r="D16" s="126">
        <v>4.0</v>
      </c>
      <c r="E16" s="126">
        <v>5.0</v>
      </c>
      <c r="F16" s="126">
        <v>9.0</v>
      </c>
      <c r="G16" s="126">
        <v>236.0</v>
      </c>
      <c r="H16" s="126">
        <v>6.9</v>
      </c>
      <c r="I16" s="127">
        <f t="shared" si="6"/>
        <v>0.08771186441</v>
      </c>
      <c r="J16" s="128">
        <f t="shared" si="7"/>
        <v>0.1169491525</v>
      </c>
      <c r="K16" s="127">
        <f t="shared" si="8"/>
        <v>0.1461864407</v>
      </c>
      <c r="L16" s="127">
        <f t="shared" si="9"/>
        <v>0.2631355932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5"/>
      <c r="C17" s="125"/>
      <c r="D17" s="125"/>
      <c r="E17" s="125"/>
      <c r="F17" s="125"/>
      <c r="G17" s="125"/>
      <c r="H17" s="125"/>
      <c r="I17" s="130">
        <f t="shared" ref="I17:L17" si="10">SUM(I14:I16)</f>
        <v>0.2377118644</v>
      </c>
      <c r="J17" s="131">
        <f t="shared" si="10"/>
        <v>0.2969491525</v>
      </c>
      <c r="K17" s="130">
        <f t="shared" si="10"/>
        <v>0.3711864407</v>
      </c>
      <c r="L17" s="130">
        <f t="shared" si="10"/>
        <v>0.5631355932</v>
      </c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25"/>
      <c r="B19" s="171" t="s">
        <v>308</v>
      </c>
      <c r="C19" s="171">
        <v>300.0</v>
      </c>
      <c r="D19" s="171">
        <v>400.0</v>
      </c>
      <c r="E19" s="171">
        <v>500.0</v>
      </c>
      <c r="F19" s="171">
        <v>600.0</v>
      </c>
      <c r="G19" s="171">
        <v>600.0</v>
      </c>
      <c r="H19" s="171">
        <v>2.36</v>
      </c>
      <c r="I19" s="172">
        <f t="shared" ref="I19:I23" si="11">(C19*H19)/G19</f>
        <v>1.18</v>
      </c>
      <c r="J19" s="172">
        <f t="shared" ref="J19:J23" si="12">(D19*H19)/G19</f>
        <v>1.573333333</v>
      </c>
      <c r="K19" s="172">
        <f t="shared" ref="K19:K23" si="13">(E19*H19)/G19</f>
        <v>1.966666667</v>
      </c>
      <c r="L19" s="172">
        <f t="shared" ref="L19:L23" si="14">(F19*H19)/G19</f>
        <v>2.36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50" t="s">
        <v>344</v>
      </c>
      <c r="B20" s="171" t="s">
        <v>345</v>
      </c>
      <c r="C20" s="171">
        <v>100.0</v>
      </c>
      <c r="D20" s="171">
        <v>150.0</v>
      </c>
      <c r="E20" s="171">
        <v>200.0</v>
      </c>
      <c r="F20" s="171">
        <v>200.0</v>
      </c>
      <c r="G20" s="171">
        <v>250.0</v>
      </c>
      <c r="H20" s="171">
        <v>2.0</v>
      </c>
      <c r="I20" s="172">
        <f t="shared" si="11"/>
        <v>0.8</v>
      </c>
      <c r="J20" s="172">
        <f t="shared" si="12"/>
        <v>1.2</v>
      </c>
      <c r="K20" s="172">
        <f t="shared" si="13"/>
        <v>1.6</v>
      </c>
      <c r="L20" s="172">
        <f t="shared" si="14"/>
        <v>1.6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50" t="s">
        <v>346</v>
      </c>
      <c r="B21" s="171" t="s">
        <v>347</v>
      </c>
      <c r="C21" s="171">
        <v>100.0</v>
      </c>
      <c r="D21" s="171">
        <v>120.0</v>
      </c>
      <c r="E21" s="171">
        <v>140.0</v>
      </c>
      <c r="F21" s="171">
        <v>150.0</v>
      </c>
      <c r="G21" s="171">
        <v>220.0</v>
      </c>
      <c r="H21" s="171">
        <v>1.0</v>
      </c>
      <c r="I21" s="172">
        <f t="shared" si="11"/>
        <v>0.4545454545</v>
      </c>
      <c r="J21" s="172">
        <f t="shared" si="12"/>
        <v>0.5454545455</v>
      </c>
      <c r="K21" s="172">
        <f t="shared" si="13"/>
        <v>0.6363636364</v>
      </c>
      <c r="L21" s="172">
        <f t="shared" si="14"/>
        <v>0.6818181818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50"/>
      <c r="B22" s="171" t="s">
        <v>348</v>
      </c>
      <c r="C22" s="171">
        <v>80.0</v>
      </c>
      <c r="D22" s="171">
        <v>90.0</v>
      </c>
      <c r="E22" s="171">
        <v>100.0</v>
      </c>
      <c r="F22" s="171">
        <v>120.0</v>
      </c>
      <c r="G22" s="171">
        <v>1000.0</v>
      </c>
      <c r="H22" s="171">
        <v>1.49</v>
      </c>
      <c r="I22" s="172">
        <f t="shared" si="11"/>
        <v>0.1192</v>
      </c>
      <c r="J22" s="172">
        <f t="shared" si="12"/>
        <v>0.1341</v>
      </c>
      <c r="K22" s="172">
        <f t="shared" si="13"/>
        <v>0.149</v>
      </c>
      <c r="L22" s="172">
        <f t="shared" si="14"/>
        <v>0.1788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71" t="s">
        <v>207</v>
      </c>
      <c r="C23" s="171">
        <v>5.0</v>
      </c>
      <c r="D23" s="171">
        <v>7.0</v>
      </c>
      <c r="E23" s="171">
        <v>9.0</v>
      </c>
      <c r="F23" s="171">
        <v>8.0</v>
      </c>
      <c r="G23" s="171">
        <v>236.0</v>
      </c>
      <c r="H23" s="171">
        <v>6.9</v>
      </c>
      <c r="I23" s="172">
        <f t="shared" si="11"/>
        <v>0.1461864407</v>
      </c>
      <c r="J23" s="172">
        <f t="shared" si="12"/>
        <v>0.2046610169</v>
      </c>
      <c r="K23" s="172">
        <f t="shared" si="13"/>
        <v>0.2631355932</v>
      </c>
      <c r="L23" s="172">
        <f t="shared" si="14"/>
        <v>0.2338983051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25"/>
      <c r="G24" s="125"/>
      <c r="H24" s="125"/>
      <c r="I24" s="173">
        <f t="shared" ref="I24:L24" si="15">SUM(I19:I23)</f>
        <v>2.699931895</v>
      </c>
      <c r="J24" s="173">
        <f t="shared" si="15"/>
        <v>3.657548896</v>
      </c>
      <c r="K24" s="173">
        <f t="shared" si="15"/>
        <v>4.615165896</v>
      </c>
      <c r="L24" s="173">
        <f t="shared" si="15"/>
        <v>5.054516487</v>
      </c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38" t="s">
        <v>311</v>
      </c>
      <c r="B26" s="139" t="s">
        <v>308</v>
      </c>
      <c r="C26" s="139">
        <v>150.0</v>
      </c>
      <c r="D26" s="139">
        <v>200.0</v>
      </c>
      <c r="E26" s="139">
        <v>200.0</v>
      </c>
      <c r="F26" s="139">
        <v>450.0</v>
      </c>
      <c r="G26" s="139">
        <v>600.0</v>
      </c>
      <c r="H26" s="139">
        <v>2.36</v>
      </c>
      <c r="I26" s="140">
        <f t="shared" ref="I26:I29" si="16">(C26*H26)/G26</f>
        <v>0.59</v>
      </c>
      <c r="J26" s="140">
        <f t="shared" ref="J26:J29" si="17">(D26*H26)/G26</f>
        <v>0.7866666667</v>
      </c>
      <c r="K26" s="140">
        <f t="shared" ref="K26:K29" si="18">(E26*H26)/G26</f>
        <v>0.7866666667</v>
      </c>
      <c r="L26" s="140">
        <f t="shared" ref="L26:L29" si="19">(F26*H26)/G26</f>
        <v>1.77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38" t="s">
        <v>349</v>
      </c>
      <c r="B27" s="139" t="s">
        <v>306</v>
      </c>
      <c r="C27" s="139">
        <v>500.0</v>
      </c>
      <c r="D27" s="139">
        <v>600.0</v>
      </c>
      <c r="E27" s="139">
        <v>600.0</v>
      </c>
      <c r="F27" s="139">
        <v>900.0</v>
      </c>
      <c r="G27" s="139">
        <v>100.0</v>
      </c>
      <c r="H27" s="139">
        <v>1.15</v>
      </c>
      <c r="I27" s="140">
        <f t="shared" si="16"/>
        <v>5.75</v>
      </c>
      <c r="J27" s="140">
        <f t="shared" si="17"/>
        <v>6.9</v>
      </c>
      <c r="K27" s="140">
        <f t="shared" si="18"/>
        <v>6.9</v>
      </c>
      <c r="L27" s="140">
        <f t="shared" si="19"/>
        <v>10.35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38" t="s">
        <v>109</v>
      </c>
      <c r="B28" s="139" t="s">
        <v>350</v>
      </c>
      <c r="C28" s="139">
        <v>50.0</v>
      </c>
      <c r="D28" s="139">
        <v>70.0</v>
      </c>
      <c r="E28" s="139">
        <v>90.0</v>
      </c>
      <c r="F28" s="139">
        <v>100.0</v>
      </c>
      <c r="G28" s="139">
        <v>100.0</v>
      </c>
      <c r="H28" s="139">
        <v>0.79</v>
      </c>
      <c r="I28" s="140">
        <f t="shared" si="16"/>
        <v>0.395</v>
      </c>
      <c r="J28" s="140">
        <f t="shared" si="17"/>
        <v>0.553</v>
      </c>
      <c r="K28" s="140">
        <f t="shared" si="18"/>
        <v>0.711</v>
      </c>
      <c r="L28" s="140">
        <f t="shared" si="19"/>
        <v>0.79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41"/>
      <c r="B29" s="139" t="s">
        <v>350</v>
      </c>
      <c r="C29" s="139">
        <v>50.0</v>
      </c>
      <c r="D29" s="139">
        <v>70.0</v>
      </c>
      <c r="E29" s="139">
        <v>90.0</v>
      </c>
      <c r="F29" s="139">
        <v>100.0</v>
      </c>
      <c r="G29" s="139">
        <v>220.0</v>
      </c>
      <c r="H29" s="139">
        <v>1.0</v>
      </c>
      <c r="I29" s="140">
        <f t="shared" si="16"/>
        <v>0.2272727273</v>
      </c>
      <c r="J29" s="140">
        <f t="shared" si="17"/>
        <v>0.3181818182</v>
      </c>
      <c r="K29" s="140">
        <f t="shared" si="18"/>
        <v>0.4090909091</v>
      </c>
      <c r="L29" s="140">
        <f t="shared" si="19"/>
        <v>0.4545454545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5"/>
      <c r="C30" s="125"/>
      <c r="D30" s="125"/>
      <c r="E30" s="125"/>
      <c r="F30" s="125"/>
      <c r="G30" s="125"/>
      <c r="H30" s="125"/>
      <c r="I30" s="142">
        <f t="shared" ref="I30:L30" si="20">SUM(I26:I29)</f>
        <v>6.962272727</v>
      </c>
      <c r="J30" s="142">
        <f t="shared" si="20"/>
        <v>8.557848485</v>
      </c>
      <c r="K30" s="142">
        <f t="shared" si="20"/>
        <v>8.806757576</v>
      </c>
      <c r="L30" s="142">
        <f t="shared" si="20"/>
        <v>13.36454545</v>
      </c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43" t="s">
        <v>317</v>
      </c>
      <c r="C32" s="144">
        <v>1.0</v>
      </c>
      <c r="D32" s="144">
        <v>1.0</v>
      </c>
      <c r="E32" s="144">
        <v>1.0</v>
      </c>
      <c r="F32" s="144">
        <v>1.0</v>
      </c>
      <c r="G32" s="143">
        <v>20.0</v>
      </c>
      <c r="H32" s="143">
        <v>1.13</v>
      </c>
      <c r="I32" s="144">
        <f t="shared" ref="I32:I36" si="21">(C32*H32)/G32</f>
        <v>0.0565</v>
      </c>
      <c r="J32" s="128">
        <f t="shared" ref="J32:J36" si="22">D32*H32/G32</f>
        <v>0.0565</v>
      </c>
      <c r="K32" s="144">
        <f t="shared" ref="K32:K36" si="23">(C32*H32)/G32</f>
        <v>0.0565</v>
      </c>
      <c r="L32" s="144">
        <f t="shared" ref="L32:L36" si="24">(F32*H32)/G32</f>
        <v>0.0565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43" t="s">
        <v>318</v>
      </c>
      <c r="C33" s="144">
        <v>1.0</v>
      </c>
      <c r="D33" s="144">
        <v>1.0</v>
      </c>
      <c r="E33" s="144">
        <v>1.0</v>
      </c>
      <c r="F33" s="144">
        <v>1.0</v>
      </c>
      <c r="G33" s="143">
        <v>1000.0</v>
      </c>
      <c r="H33" s="143">
        <v>2.05</v>
      </c>
      <c r="I33" s="144">
        <f t="shared" si="21"/>
        <v>0.00205</v>
      </c>
      <c r="J33" s="128">
        <f t="shared" si="22"/>
        <v>0.00205</v>
      </c>
      <c r="K33" s="144">
        <f t="shared" si="23"/>
        <v>0.00205</v>
      </c>
      <c r="L33" s="144">
        <f t="shared" si="24"/>
        <v>0.00205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25"/>
      <c r="B34" s="143" t="s">
        <v>204</v>
      </c>
      <c r="C34" s="143">
        <v>30.0</v>
      </c>
      <c r="D34" s="143">
        <v>30.0</v>
      </c>
      <c r="E34" s="143">
        <v>35.0</v>
      </c>
      <c r="F34" s="143">
        <v>40.0</v>
      </c>
      <c r="G34" s="143">
        <v>60.0</v>
      </c>
      <c r="H34" s="143">
        <v>1.0</v>
      </c>
      <c r="I34" s="144">
        <f t="shared" si="21"/>
        <v>0.5</v>
      </c>
      <c r="J34" s="128">
        <f t="shared" si="22"/>
        <v>0.5</v>
      </c>
      <c r="K34" s="144">
        <f t="shared" si="23"/>
        <v>0.5</v>
      </c>
      <c r="L34" s="144">
        <f t="shared" si="24"/>
        <v>0.6666666667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45" t="s">
        <v>319</v>
      </c>
      <c r="B35" s="143" t="s">
        <v>206</v>
      </c>
      <c r="C35" s="143">
        <v>12.0</v>
      </c>
      <c r="D35" s="143">
        <v>12.0</v>
      </c>
      <c r="E35" s="143">
        <v>12.0</v>
      </c>
      <c r="F35" s="143">
        <v>12.0</v>
      </c>
      <c r="G35" s="143">
        <v>1000.0</v>
      </c>
      <c r="H35" s="143">
        <v>1.97</v>
      </c>
      <c r="I35" s="144">
        <f t="shared" si="21"/>
        <v>0.02364</v>
      </c>
      <c r="J35" s="128">
        <f t="shared" si="22"/>
        <v>0.02364</v>
      </c>
      <c r="K35" s="144">
        <f t="shared" si="23"/>
        <v>0.02364</v>
      </c>
      <c r="L35" s="144">
        <f t="shared" si="24"/>
        <v>0.02364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45" t="s">
        <v>320</v>
      </c>
      <c r="B36" s="143" t="s">
        <v>208</v>
      </c>
      <c r="C36" s="143">
        <v>12.0</v>
      </c>
      <c r="D36" s="143">
        <v>12.0</v>
      </c>
      <c r="E36" s="143">
        <v>12.0</v>
      </c>
      <c r="F36" s="143">
        <v>12.0</v>
      </c>
      <c r="G36" s="143">
        <v>60.0</v>
      </c>
      <c r="H36" s="143">
        <v>1.0</v>
      </c>
      <c r="I36" s="144">
        <f t="shared" si="21"/>
        <v>0.2</v>
      </c>
      <c r="J36" s="128">
        <f t="shared" si="22"/>
        <v>0.2</v>
      </c>
      <c r="K36" s="144">
        <f t="shared" si="23"/>
        <v>0.2</v>
      </c>
      <c r="L36" s="144">
        <f t="shared" si="24"/>
        <v>0.2</v>
      </c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44"/>
      <c r="C37" s="144"/>
      <c r="D37" s="144"/>
      <c r="E37" s="144"/>
      <c r="F37" s="144"/>
      <c r="G37" s="144"/>
      <c r="H37" s="144"/>
      <c r="I37" s="144"/>
      <c r="J37" s="128"/>
      <c r="K37" s="144"/>
      <c r="L37" s="144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44"/>
      <c r="C38" s="144"/>
      <c r="D38" s="144"/>
      <c r="E38" s="144"/>
      <c r="F38" s="144"/>
      <c r="G38" s="144"/>
      <c r="H38" s="144"/>
      <c r="I38" s="144"/>
      <c r="J38" s="128"/>
      <c r="K38" s="144"/>
      <c r="L38" s="14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144"/>
      <c r="C39" s="144"/>
      <c r="D39" s="144"/>
      <c r="E39" s="144"/>
      <c r="F39" s="144"/>
      <c r="G39" s="144"/>
      <c r="H39" s="144"/>
      <c r="I39" s="144"/>
      <c r="J39" s="128"/>
      <c r="K39" s="144"/>
      <c r="L39" s="144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146"/>
      <c r="C40" s="146"/>
      <c r="D40" s="146"/>
      <c r="E40" s="146"/>
      <c r="F40" s="146"/>
      <c r="G40" s="146"/>
      <c r="H40" s="146"/>
      <c r="I40" s="147">
        <f t="shared" ref="I40:L40" si="25">SUM(I32:I39)</f>
        <v>0.78219</v>
      </c>
      <c r="J40" s="128">
        <f t="shared" si="25"/>
        <v>0.78219</v>
      </c>
      <c r="K40" s="147">
        <f t="shared" si="25"/>
        <v>0.78219</v>
      </c>
      <c r="L40" s="147">
        <f t="shared" si="25"/>
        <v>0.9488566667</v>
      </c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25"/>
      <c r="B43" s="148" t="s">
        <v>322</v>
      </c>
      <c r="C43" s="148">
        <v>1.0</v>
      </c>
      <c r="D43" s="148">
        <v>1.0</v>
      </c>
      <c r="E43" s="148">
        <v>1.0</v>
      </c>
      <c r="F43" s="148">
        <v>1.0</v>
      </c>
      <c r="G43" s="148">
        <v>1.0</v>
      </c>
      <c r="H43" s="148">
        <v>1.8</v>
      </c>
      <c r="I43" s="149">
        <f t="shared" ref="I43:I52" si="26">(C43*H43)/G43</f>
        <v>1.8</v>
      </c>
      <c r="J43" s="149">
        <f t="shared" ref="J43:J52" si="27">(C43*H43)/G43</f>
        <v>1.8</v>
      </c>
      <c r="K43" s="149">
        <f t="shared" ref="K43:K52" si="28">(E43*H43)/G43</f>
        <v>1.8</v>
      </c>
      <c r="L43" s="149">
        <f t="shared" ref="L43:L52" si="29">(F43*H43)/G43</f>
        <v>1.8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41"/>
      <c r="B44" s="148" t="s">
        <v>323</v>
      </c>
      <c r="C44" s="148">
        <v>1.0</v>
      </c>
      <c r="D44" s="148">
        <v>1.0</v>
      </c>
      <c r="E44" s="148">
        <v>1.0</v>
      </c>
      <c r="F44" s="148">
        <v>1.0</v>
      </c>
      <c r="G44" s="148">
        <v>6.0</v>
      </c>
      <c r="H44" s="148">
        <v>1.0</v>
      </c>
      <c r="I44" s="149">
        <f t="shared" si="26"/>
        <v>0.1666666667</v>
      </c>
      <c r="J44" s="149">
        <f t="shared" si="27"/>
        <v>0.1666666667</v>
      </c>
      <c r="K44" s="149">
        <f t="shared" si="28"/>
        <v>0.1666666667</v>
      </c>
      <c r="L44" s="149">
        <f t="shared" si="29"/>
        <v>0.1666666667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25"/>
      <c r="B45" s="148" t="s">
        <v>324</v>
      </c>
      <c r="C45" s="148">
        <v>1.0</v>
      </c>
      <c r="D45" s="148">
        <v>1.0</v>
      </c>
      <c r="E45" s="148">
        <v>1.0</v>
      </c>
      <c r="F45" s="148">
        <v>0.0</v>
      </c>
      <c r="G45" s="148">
        <v>1.0</v>
      </c>
      <c r="H45" s="148">
        <v>0.9</v>
      </c>
      <c r="I45" s="149">
        <f t="shared" si="26"/>
        <v>0.9</v>
      </c>
      <c r="J45" s="149">
        <f t="shared" si="27"/>
        <v>0.9</v>
      </c>
      <c r="K45" s="149">
        <f t="shared" si="28"/>
        <v>0.9</v>
      </c>
      <c r="L45" s="149">
        <f t="shared" si="29"/>
        <v>0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50" t="s">
        <v>325</v>
      </c>
      <c r="B46" s="148" t="s">
        <v>326</v>
      </c>
      <c r="C46" s="148">
        <v>1.0</v>
      </c>
      <c r="D46" s="148">
        <v>1.0</v>
      </c>
      <c r="E46" s="148">
        <v>1.0</v>
      </c>
      <c r="F46" s="148">
        <v>0.0</v>
      </c>
      <c r="G46" s="148">
        <v>1.0</v>
      </c>
      <c r="H46" s="148">
        <v>2.0</v>
      </c>
      <c r="I46" s="149">
        <f t="shared" si="26"/>
        <v>2</v>
      </c>
      <c r="J46" s="149">
        <f t="shared" si="27"/>
        <v>2</v>
      </c>
      <c r="K46" s="149">
        <f t="shared" si="28"/>
        <v>2</v>
      </c>
      <c r="L46" s="149">
        <f t="shared" si="29"/>
        <v>0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48" t="s">
        <v>327</v>
      </c>
      <c r="C47" s="148">
        <v>1.0</v>
      </c>
      <c r="D47" s="148">
        <v>1.0</v>
      </c>
      <c r="E47" s="148">
        <v>1.0</v>
      </c>
      <c r="F47" s="148">
        <v>1.0</v>
      </c>
      <c r="G47" s="148">
        <v>500.0</v>
      </c>
      <c r="H47" s="148">
        <v>0.85</v>
      </c>
      <c r="I47" s="149">
        <f t="shared" si="26"/>
        <v>0.0017</v>
      </c>
      <c r="J47" s="149">
        <f t="shared" si="27"/>
        <v>0.0017</v>
      </c>
      <c r="K47" s="149">
        <f t="shared" si="28"/>
        <v>0.0017</v>
      </c>
      <c r="L47" s="149">
        <f t="shared" si="29"/>
        <v>0.0017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48" t="s">
        <v>328</v>
      </c>
      <c r="C48" s="148">
        <v>2.0</v>
      </c>
      <c r="D48" s="148">
        <v>2.0</v>
      </c>
      <c r="E48" s="148">
        <v>2.0</v>
      </c>
      <c r="F48" s="148">
        <v>1.0</v>
      </c>
      <c r="G48" s="148">
        <v>2.0</v>
      </c>
      <c r="H48" s="148">
        <v>0.18</v>
      </c>
      <c r="I48" s="149">
        <f t="shared" si="26"/>
        <v>0.18</v>
      </c>
      <c r="J48" s="149">
        <f t="shared" si="27"/>
        <v>0.18</v>
      </c>
      <c r="K48" s="149">
        <f t="shared" si="28"/>
        <v>0.18</v>
      </c>
      <c r="L48" s="149">
        <f t="shared" si="29"/>
        <v>0.09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48" t="s">
        <v>351</v>
      </c>
      <c r="C49" s="148">
        <v>0.0</v>
      </c>
      <c r="D49" s="148">
        <v>0.0</v>
      </c>
      <c r="E49" s="148">
        <v>0.0</v>
      </c>
      <c r="F49" s="148">
        <v>1.0</v>
      </c>
      <c r="G49" s="148">
        <v>1.0</v>
      </c>
      <c r="H49" s="148">
        <v>0.9</v>
      </c>
      <c r="I49" s="149">
        <f t="shared" si="26"/>
        <v>0</v>
      </c>
      <c r="J49" s="149">
        <f t="shared" si="27"/>
        <v>0</v>
      </c>
      <c r="K49" s="149">
        <f t="shared" si="28"/>
        <v>0</v>
      </c>
      <c r="L49" s="149">
        <f t="shared" si="29"/>
        <v>0.9</v>
      </c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48" t="s">
        <v>352</v>
      </c>
      <c r="C50" s="148">
        <v>0.0</v>
      </c>
      <c r="D50" s="148">
        <v>0.0</v>
      </c>
      <c r="E50" s="148">
        <v>0.0</v>
      </c>
      <c r="F50" s="148">
        <v>1.0</v>
      </c>
      <c r="G50" s="148">
        <v>1.0</v>
      </c>
      <c r="H50" s="148">
        <v>2.0</v>
      </c>
      <c r="I50" s="149">
        <f t="shared" si="26"/>
        <v>0</v>
      </c>
      <c r="J50" s="149">
        <f t="shared" si="27"/>
        <v>0</v>
      </c>
      <c r="K50" s="149">
        <f t="shared" si="28"/>
        <v>0</v>
      </c>
      <c r="L50" s="149">
        <f t="shared" si="29"/>
        <v>2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48" t="s">
        <v>329</v>
      </c>
      <c r="C51" s="148">
        <v>10.0</v>
      </c>
      <c r="D51" s="148">
        <v>10.0</v>
      </c>
      <c r="E51" s="148">
        <v>10.0</v>
      </c>
      <c r="F51" s="148">
        <v>12.0</v>
      </c>
      <c r="G51" s="148">
        <v>100.0</v>
      </c>
      <c r="H51" s="148">
        <v>6.0</v>
      </c>
      <c r="I51" s="149">
        <f t="shared" si="26"/>
        <v>0.6</v>
      </c>
      <c r="J51" s="149">
        <f t="shared" si="27"/>
        <v>0.6</v>
      </c>
      <c r="K51" s="149">
        <f t="shared" si="28"/>
        <v>0.6</v>
      </c>
      <c r="L51" s="149">
        <f t="shared" si="29"/>
        <v>0.72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48" t="s">
        <v>330</v>
      </c>
      <c r="C52" s="148">
        <v>3.0</v>
      </c>
      <c r="D52" s="148">
        <v>3.0</v>
      </c>
      <c r="E52" s="148">
        <v>3.0</v>
      </c>
      <c r="F52" s="148">
        <v>3.0</v>
      </c>
      <c r="G52" s="148">
        <v>10.0</v>
      </c>
      <c r="H52" s="148">
        <v>10.0</v>
      </c>
      <c r="I52" s="149">
        <f t="shared" si="26"/>
        <v>3</v>
      </c>
      <c r="J52" s="149">
        <f t="shared" si="27"/>
        <v>3</v>
      </c>
      <c r="K52" s="149">
        <f t="shared" si="28"/>
        <v>3</v>
      </c>
      <c r="L52" s="149">
        <f t="shared" si="29"/>
        <v>3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5"/>
      <c r="C53" s="125"/>
      <c r="D53" s="125"/>
      <c r="E53" s="125"/>
      <c r="F53" s="125"/>
      <c r="G53" s="125"/>
      <c r="H53" s="125"/>
      <c r="I53" s="151">
        <f t="shared" ref="I53:L53" si="30">SUM(I43:I52)</f>
        <v>8.648366667</v>
      </c>
      <c r="J53" s="151">
        <f t="shared" si="30"/>
        <v>8.648366667</v>
      </c>
      <c r="K53" s="151">
        <f t="shared" si="30"/>
        <v>8.648366667</v>
      </c>
      <c r="L53" s="151">
        <f t="shared" si="30"/>
        <v>8.678366667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5"/>
      <c r="C54" s="125"/>
      <c r="D54" s="125"/>
      <c r="E54" s="125"/>
      <c r="F54" s="125"/>
      <c r="G54" s="125"/>
      <c r="H54" s="125"/>
      <c r="I54" s="174" t="s">
        <v>353</v>
      </c>
      <c r="J54" s="174" t="s">
        <v>354</v>
      </c>
      <c r="K54" s="174" t="s">
        <v>355</v>
      </c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5"/>
      <c r="C55" s="125"/>
      <c r="D55" s="125"/>
      <c r="E55" s="125"/>
      <c r="F55" s="125"/>
      <c r="G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/>
      <c r="D56" s="125"/>
      <c r="E56" s="125"/>
      <c r="F56" s="125"/>
      <c r="G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5"/>
      <c r="C57" s="125"/>
      <c r="D57" s="125"/>
      <c r="E57" s="125"/>
      <c r="F57" s="125"/>
      <c r="G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125"/>
      <c r="D58" s="125"/>
      <c r="E58" s="125"/>
      <c r="F58" s="125"/>
      <c r="G58" s="125"/>
      <c r="H58" s="175" t="s">
        <v>331</v>
      </c>
      <c r="I58" s="176">
        <f t="shared" ref="I58:L58" si="31">SUM(I12+I17+I24+I30+I40+I53)</f>
        <v>21.90694444</v>
      </c>
      <c r="J58" s="176">
        <f t="shared" si="31"/>
        <v>24.80704881</v>
      </c>
      <c r="K58" s="176">
        <f t="shared" si="31"/>
        <v>27.0362834</v>
      </c>
      <c r="L58" s="176">
        <f t="shared" si="31"/>
        <v>32.98542557</v>
      </c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5"/>
      <c r="C59" s="125"/>
      <c r="D59" s="125"/>
      <c r="E59" s="125"/>
      <c r="F59" s="125"/>
      <c r="G59" s="125"/>
      <c r="H59" s="177" t="s">
        <v>238</v>
      </c>
      <c r="I59" s="177">
        <v>40.0</v>
      </c>
      <c r="J59" s="177">
        <v>45.0</v>
      </c>
      <c r="K59" s="177">
        <v>50.0</v>
      </c>
      <c r="L59" s="177">
        <v>55.0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5"/>
      <c r="C60" s="125"/>
      <c r="D60" s="125"/>
      <c r="E60" s="125"/>
      <c r="F60" s="125"/>
      <c r="G60" s="125"/>
      <c r="H60" s="178" t="s">
        <v>356</v>
      </c>
      <c r="I60" s="179">
        <f t="shared" ref="I60:K60" si="32">I59-I58</f>
        <v>18.09305556</v>
      </c>
      <c r="J60" s="179">
        <f t="shared" si="32"/>
        <v>20.19295119</v>
      </c>
      <c r="K60" s="179">
        <f t="shared" si="32"/>
        <v>22.9637166</v>
      </c>
      <c r="L60" s="176">
        <f>SUM(L59-L58)</f>
        <v>22.01457443</v>
      </c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5"/>
      <c r="C61" s="125"/>
      <c r="D61" s="125"/>
      <c r="E61" s="125"/>
      <c r="F61" s="125"/>
      <c r="G61" s="125"/>
      <c r="H61" s="180"/>
      <c r="I61" s="180"/>
      <c r="J61" s="180"/>
      <c r="K61" s="180"/>
      <c r="L61" s="180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5"/>
      <c r="C62" s="125"/>
      <c r="D62" s="125"/>
      <c r="E62" s="125"/>
      <c r="F62" s="125"/>
      <c r="G62" s="125"/>
      <c r="H62" s="181"/>
      <c r="I62" s="180"/>
      <c r="J62" s="180"/>
      <c r="K62" s="180"/>
      <c r="L62" s="180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5"/>
      <c r="C63" s="125"/>
      <c r="D63" s="125"/>
      <c r="E63" s="125"/>
      <c r="F63" s="125"/>
      <c r="G63" s="125"/>
      <c r="H63" s="180"/>
      <c r="I63" s="180"/>
      <c r="J63" s="180"/>
      <c r="K63" s="180"/>
      <c r="L63" s="180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38"/>
    <col customWidth="1" min="7" max="7" width="13.75"/>
  </cols>
  <sheetData>
    <row r="2">
      <c r="C2" s="1" t="s">
        <v>357</v>
      </c>
    </row>
    <row r="3">
      <c r="A3" s="182" t="s">
        <v>193</v>
      </c>
      <c r="B3" s="182" t="s">
        <v>115</v>
      </c>
      <c r="C3" s="182" t="s">
        <v>120</v>
      </c>
      <c r="D3" s="182" t="s">
        <v>358</v>
      </c>
      <c r="E3" s="182" t="s">
        <v>337</v>
      </c>
      <c r="F3" s="182" t="s">
        <v>8</v>
      </c>
      <c r="G3" s="182" t="s">
        <v>359</v>
      </c>
      <c r="H3" s="4" t="s">
        <v>360</v>
      </c>
      <c r="I3" s="4" t="s">
        <v>361</v>
      </c>
      <c r="J3" s="4" t="s">
        <v>362</v>
      </c>
      <c r="K3" s="4" t="s">
        <v>363</v>
      </c>
    </row>
    <row r="4">
      <c r="A4" s="183" t="s">
        <v>364</v>
      </c>
      <c r="B4" s="183">
        <v>125.0</v>
      </c>
      <c r="C4" s="183">
        <v>175.0</v>
      </c>
      <c r="D4" s="183">
        <v>245.0</v>
      </c>
      <c r="E4" s="183">
        <v>345.0</v>
      </c>
      <c r="F4" s="183">
        <v>1.65</v>
      </c>
      <c r="G4" s="183">
        <v>735.0</v>
      </c>
      <c r="H4" s="184">
        <f t="shared" ref="H4:H11" si="1">B4*F4/G4</f>
        <v>0.2806122449</v>
      </c>
      <c r="I4" s="184">
        <f t="shared" ref="I4:I11" si="2">C4*F4/G4</f>
        <v>0.3928571429</v>
      </c>
      <c r="J4" s="184">
        <f t="shared" ref="J4:J11" si="3">D4*F4/G4</f>
        <v>0.55</v>
      </c>
      <c r="K4" s="184">
        <f t="shared" ref="K4:K11" si="4">E4*F4/G4</f>
        <v>0.7744897959</v>
      </c>
    </row>
    <row r="5">
      <c r="A5" s="183" t="s">
        <v>365</v>
      </c>
      <c r="B5" s="183">
        <v>100.0</v>
      </c>
      <c r="C5" s="183">
        <v>150.0</v>
      </c>
      <c r="D5" s="183">
        <v>200.0</v>
      </c>
      <c r="E5" s="183">
        <v>300.0</v>
      </c>
      <c r="F5" s="183">
        <v>2.39</v>
      </c>
      <c r="G5" s="183">
        <v>250.0</v>
      </c>
      <c r="H5" s="184">
        <f t="shared" si="1"/>
        <v>0.956</v>
      </c>
      <c r="I5" s="184">
        <f t="shared" si="2"/>
        <v>1.434</v>
      </c>
      <c r="J5" s="184">
        <f t="shared" si="3"/>
        <v>1.912</v>
      </c>
      <c r="K5" s="184">
        <f t="shared" si="4"/>
        <v>2.868</v>
      </c>
    </row>
    <row r="6">
      <c r="A6" s="183" t="s">
        <v>366</v>
      </c>
      <c r="B6" s="183">
        <v>150.0</v>
      </c>
      <c r="C6" s="183">
        <v>200.0</v>
      </c>
      <c r="D6" s="183">
        <v>250.0</v>
      </c>
      <c r="E6" s="183">
        <v>300.0</v>
      </c>
      <c r="F6" s="183">
        <v>2.65</v>
      </c>
      <c r="G6" s="183">
        <v>250.0</v>
      </c>
      <c r="H6" s="184">
        <f t="shared" si="1"/>
        <v>1.59</v>
      </c>
      <c r="I6" s="184">
        <f t="shared" si="2"/>
        <v>2.12</v>
      </c>
      <c r="J6" s="184">
        <f t="shared" si="3"/>
        <v>2.65</v>
      </c>
      <c r="K6" s="184">
        <f t="shared" si="4"/>
        <v>3.18</v>
      </c>
    </row>
    <row r="7">
      <c r="A7" s="183" t="s">
        <v>367</v>
      </c>
      <c r="B7" s="183">
        <v>150.0</v>
      </c>
      <c r="C7" s="183">
        <v>200.0</v>
      </c>
      <c r="D7" s="183">
        <v>250.0</v>
      </c>
      <c r="E7" s="183">
        <v>300.0</v>
      </c>
      <c r="F7" s="183">
        <v>2.78</v>
      </c>
      <c r="G7" s="183">
        <v>250.0</v>
      </c>
      <c r="H7" s="184">
        <f t="shared" si="1"/>
        <v>1.668</v>
      </c>
      <c r="I7" s="184">
        <f t="shared" si="2"/>
        <v>2.224</v>
      </c>
      <c r="J7" s="184">
        <f t="shared" si="3"/>
        <v>2.78</v>
      </c>
      <c r="K7" s="184">
        <f t="shared" si="4"/>
        <v>3.336</v>
      </c>
    </row>
    <row r="8">
      <c r="A8" s="183" t="s">
        <v>309</v>
      </c>
      <c r="B8" s="183">
        <v>100.0</v>
      </c>
      <c r="C8" s="183">
        <v>150.0</v>
      </c>
      <c r="D8" s="183">
        <v>200.0</v>
      </c>
      <c r="E8" s="183">
        <v>300.0</v>
      </c>
      <c r="F8" s="183">
        <v>2.39</v>
      </c>
      <c r="G8" s="183">
        <v>600.0</v>
      </c>
      <c r="H8" s="184">
        <f t="shared" si="1"/>
        <v>0.3983333333</v>
      </c>
      <c r="I8" s="184">
        <f t="shared" si="2"/>
        <v>0.5975</v>
      </c>
      <c r="J8" s="184">
        <f t="shared" si="3"/>
        <v>0.7966666667</v>
      </c>
      <c r="K8" s="184">
        <f t="shared" si="4"/>
        <v>1.195</v>
      </c>
    </row>
    <row r="9">
      <c r="A9" s="183" t="s">
        <v>368</v>
      </c>
      <c r="B9" s="183">
        <v>1.0</v>
      </c>
      <c r="C9" s="183">
        <v>1.0</v>
      </c>
      <c r="D9" s="183">
        <v>1.0</v>
      </c>
      <c r="E9" s="183">
        <v>1.0</v>
      </c>
      <c r="F9" s="183">
        <v>0.59</v>
      </c>
      <c r="G9" s="183">
        <v>1.0</v>
      </c>
      <c r="H9" s="184">
        <f t="shared" si="1"/>
        <v>0.59</v>
      </c>
      <c r="I9" s="184">
        <f t="shared" si="2"/>
        <v>0.59</v>
      </c>
      <c r="J9" s="184">
        <f t="shared" si="3"/>
        <v>0.59</v>
      </c>
      <c r="K9" s="184">
        <f t="shared" si="4"/>
        <v>0.59</v>
      </c>
    </row>
    <row r="10">
      <c r="A10" s="183" t="s">
        <v>255</v>
      </c>
      <c r="B10" s="183">
        <v>5.0</v>
      </c>
      <c r="C10" s="183">
        <v>5.0</v>
      </c>
      <c r="D10" s="183">
        <v>4.0</v>
      </c>
      <c r="E10" s="183">
        <v>4.0</v>
      </c>
      <c r="F10" s="183">
        <v>6.9</v>
      </c>
      <c r="G10" s="183">
        <v>236.0</v>
      </c>
      <c r="H10" s="184">
        <f t="shared" si="1"/>
        <v>0.1461864407</v>
      </c>
      <c r="I10" s="184">
        <f t="shared" si="2"/>
        <v>0.1461864407</v>
      </c>
      <c r="J10" s="184">
        <f t="shared" si="3"/>
        <v>0.1169491525</v>
      </c>
      <c r="K10" s="184">
        <f t="shared" si="4"/>
        <v>0.1169491525</v>
      </c>
    </row>
    <row r="11">
      <c r="A11" s="183" t="s">
        <v>357</v>
      </c>
      <c r="B11" s="183">
        <v>300.0</v>
      </c>
      <c r="C11" s="183">
        <v>300.0</v>
      </c>
      <c r="D11" s="183">
        <v>300.0</v>
      </c>
      <c r="E11" s="183">
        <v>350.0</v>
      </c>
      <c r="F11" s="183">
        <v>1.68</v>
      </c>
      <c r="G11" s="183">
        <v>300.0</v>
      </c>
      <c r="H11" s="184">
        <f t="shared" si="1"/>
        <v>1.68</v>
      </c>
      <c r="I11" s="184">
        <f t="shared" si="2"/>
        <v>1.68</v>
      </c>
      <c r="J11" s="184">
        <f t="shared" si="3"/>
        <v>1.68</v>
      </c>
      <c r="K11" s="184">
        <f t="shared" si="4"/>
        <v>1.96</v>
      </c>
    </row>
    <row r="12">
      <c r="H12" s="185">
        <f t="shared" ref="H12:K12" si="5">SUM(H4:H11)</f>
        <v>7.309132019</v>
      </c>
      <c r="I12" s="185">
        <f t="shared" si="5"/>
        <v>9.184543584</v>
      </c>
      <c r="J12" s="185">
        <f t="shared" si="5"/>
        <v>11.07561582</v>
      </c>
      <c r="K12" s="185">
        <f t="shared" si="5"/>
        <v>14.02043895</v>
      </c>
    </row>
    <row r="14">
      <c r="A14" s="183" t="s">
        <v>369</v>
      </c>
      <c r="B14" s="183">
        <v>0.6</v>
      </c>
      <c r="C14" s="183">
        <v>0.6</v>
      </c>
      <c r="D14" s="183">
        <v>0.6</v>
      </c>
      <c r="E14" s="183">
        <v>0.6</v>
      </c>
      <c r="F14" s="183">
        <v>2.35</v>
      </c>
      <c r="G14" s="183">
        <v>30.0</v>
      </c>
      <c r="H14" s="184">
        <f t="shared" ref="H14:H22" si="6">B14*F14/G14</f>
        <v>0.047</v>
      </c>
      <c r="I14" s="184">
        <f t="shared" ref="I14:I22" si="7">C14*F14/G14</f>
        <v>0.047</v>
      </c>
      <c r="J14" s="184">
        <f t="shared" ref="J14:J22" si="8">D14*F14/G14</f>
        <v>0.047</v>
      </c>
      <c r="K14" s="184">
        <f t="shared" ref="K14:K22" si="9">E14*F14/G14</f>
        <v>0.047</v>
      </c>
    </row>
    <row r="15">
      <c r="A15" s="183" t="s">
        <v>267</v>
      </c>
      <c r="B15" s="183">
        <v>1.0</v>
      </c>
      <c r="C15" s="183">
        <v>1.0</v>
      </c>
      <c r="D15" s="183">
        <v>1.0</v>
      </c>
      <c r="E15" s="183">
        <v>1.0</v>
      </c>
      <c r="F15" s="183">
        <v>1.13</v>
      </c>
      <c r="G15" s="183">
        <v>20.0</v>
      </c>
      <c r="H15" s="184">
        <f t="shared" si="6"/>
        <v>0.0565</v>
      </c>
      <c r="I15" s="184">
        <f t="shared" si="7"/>
        <v>0.0565</v>
      </c>
      <c r="J15" s="184">
        <f t="shared" si="8"/>
        <v>0.0565</v>
      </c>
      <c r="K15" s="184">
        <f t="shared" si="9"/>
        <v>0.0565</v>
      </c>
    </row>
    <row r="16">
      <c r="A16" s="183" t="s">
        <v>266</v>
      </c>
      <c r="B16" s="183">
        <v>1.0</v>
      </c>
      <c r="C16" s="183">
        <v>1.0</v>
      </c>
      <c r="D16" s="183">
        <v>1.0</v>
      </c>
      <c r="E16" s="183">
        <v>1.0</v>
      </c>
      <c r="F16" s="183">
        <v>1.13</v>
      </c>
      <c r="G16" s="183">
        <v>20.0</v>
      </c>
      <c r="H16" s="184">
        <f t="shared" si="6"/>
        <v>0.0565</v>
      </c>
      <c r="I16" s="184">
        <f t="shared" si="7"/>
        <v>0.0565</v>
      </c>
      <c r="J16" s="184">
        <f t="shared" si="8"/>
        <v>0.0565</v>
      </c>
      <c r="K16" s="184">
        <f t="shared" si="9"/>
        <v>0.0565</v>
      </c>
    </row>
    <row r="17">
      <c r="A17" s="183" t="s">
        <v>370</v>
      </c>
      <c r="B17" s="183">
        <v>1.0</v>
      </c>
      <c r="C17" s="183">
        <v>1.0</v>
      </c>
      <c r="D17" s="183">
        <v>1.0</v>
      </c>
      <c r="E17" s="183">
        <v>1.0</v>
      </c>
      <c r="F17" s="183">
        <v>0.75</v>
      </c>
      <c r="G17" s="183">
        <v>1.0</v>
      </c>
      <c r="H17" s="184">
        <f t="shared" si="6"/>
        <v>0.75</v>
      </c>
      <c r="I17" s="184">
        <f t="shared" si="7"/>
        <v>0.75</v>
      </c>
      <c r="J17" s="184">
        <f t="shared" si="8"/>
        <v>0.75</v>
      </c>
      <c r="K17" s="184">
        <f t="shared" si="9"/>
        <v>0.75</v>
      </c>
    </row>
    <row r="18">
      <c r="A18" s="183" t="s">
        <v>371</v>
      </c>
      <c r="B18" s="183">
        <v>1.0</v>
      </c>
      <c r="C18" s="183">
        <v>1.0</v>
      </c>
      <c r="D18" s="183">
        <v>1.0</v>
      </c>
      <c r="E18" s="183">
        <v>1.0</v>
      </c>
      <c r="F18" s="183">
        <v>1.0</v>
      </c>
      <c r="G18" s="183">
        <v>20.0</v>
      </c>
      <c r="H18" s="184">
        <f t="shared" si="6"/>
        <v>0.05</v>
      </c>
      <c r="I18" s="184">
        <f t="shared" si="7"/>
        <v>0.05</v>
      </c>
      <c r="J18" s="184">
        <f t="shared" si="8"/>
        <v>0.05</v>
      </c>
      <c r="K18" s="184">
        <f t="shared" si="9"/>
        <v>0.05</v>
      </c>
    </row>
    <row r="19">
      <c r="A19" s="183" t="s">
        <v>372</v>
      </c>
      <c r="B19" s="183">
        <v>1.0</v>
      </c>
      <c r="C19" s="184"/>
      <c r="D19" s="183">
        <v>1.0</v>
      </c>
      <c r="E19" s="184"/>
      <c r="F19" s="183">
        <v>0.75</v>
      </c>
      <c r="G19" s="183">
        <v>1.0</v>
      </c>
      <c r="H19" s="184">
        <f t="shared" si="6"/>
        <v>0.75</v>
      </c>
      <c r="I19" s="184">
        <f t="shared" si="7"/>
        <v>0</v>
      </c>
      <c r="J19" s="184">
        <f t="shared" si="8"/>
        <v>0.75</v>
      </c>
      <c r="K19" s="184">
        <f t="shared" si="9"/>
        <v>0</v>
      </c>
    </row>
    <row r="20">
      <c r="A20" s="183" t="s">
        <v>373</v>
      </c>
      <c r="B20" s="184"/>
      <c r="C20" s="183">
        <v>1.0</v>
      </c>
      <c r="D20" s="183">
        <v>1.0</v>
      </c>
      <c r="E20" s="183">
        <v>1.0</v>
      </c>
      <c r="F20" s="183">
        <v>0.85</v>
      </c>
      <c r="G20" s="183">
        <v>1.0</v>
      </c>
      <c r="H20" s="184">
        <f t="shared" si="6"/>
        <v>0</v>
      </c>
      <c r="I20" s="184">
        <f t="shared" si="7"/>
        <v>0.85</v>
      </c>
      <c r="J20" s="184">
        <f t="shared" si="8"/>
        <v>0.85</v>
      </c>
      <c r="K20" s="184">
        <f t="shared" si="9"/>
        <v>0.85</v>
      </c>
    </row>
    <row r="21">
      <c r="A21" s="183" t="s">
        <v>374</v>
      </c>
      <c r="B21" s="183">
        <v>1.0</v>
      </c>
      <c r="C21" s="184"/>
      <c r="D21" s="183">
        <v>1.0</v>
      </c>
      <c r="E21" s="184"/>
      <c r="F21" s="183">
        <v>1.95</v>
      </c>
      <c r="G21" s="183">
        <v>1.0</v>
      </c>
      <c r="H21" s="184">
        <f t="shared" si="6"/>
        <v>1.95</v>
      </c>
      <c r="I21" s="184">
        <f t="shared" si="7"/>
        <v>0</v>
      </c>
      <c r="J21" s="184">
        <f t="shared" si="8"/>
        <v>1.95</v>
      </c>
      <c r="K21" s="184">
        <f t="shared" si="9"/>
        <v>0</v>
      </c>
    </row>
    <row r="22">
      <c r="A22" s="183" t="s">
        <v>375</v>
      </c>
      <c r="B22" s="184"/>
      <c r="C22" s="183">
        <v>1.0</v>
      </c>
      <c r="D22" s="183">
        <v>1.0</v>
      </c>
      <c r="E22" s="183">
        <v>1.0</v>
      </c>
      <c r="F22" s="183">
        <v>2.2</v>
      </c>
      <c r="G22" s="183">
        <v>1.0</v>
      </c>
      <c r="H22" s="184">
        <f t="shared" si="6"/>
        <v>0</v>
      </c>
      <c r="I22" s="184">
        <f t="shared" si="7"/>
        <v>2.2</v>
      </c>
      <c r="J22" s="184">
        <f t="shared" si="8"/>
        <v>2.2</v>
      </c>
      <c r="K22" s="184">
        <f t="shared" si="9"/>
        <v>2.2</v>
      </c>
    </row>
    <row r="23">
      <c r="H23" s="186">
        <f>SUM( H14:H22)</f>
        <v>3.66</v>
      </c>
      <c r="I23" s="186">
        <f t="shared" ref="I23:K23" si="10">SUM(I14:I22)</f>
        <v>4.01</v>
      </c>
      <c r="J23" s="186">
        <f t="shared" si="10"/>
        <v>6.71</v>
      </c>
      <c r="K23" s="186">
        <f t="shared" si="10"/>
        <v>4.01</v>
      </c>
    </row>
    <row r="26">
      <c r="G26" s="187" t="s">
        <v>270</v>
      </c>
      <c r="H26" s="188">
        <f t="shared" ref="H26:K26" si="11">SUM(H12+H23)</f>
        <v>10.96913202</v>
      </c>
      <c r="I26" s="188">
        <f t="shared" si="11"/>
        <v>13.19454358</v>
      </c>
      <c r="J26" s="188">
        <f t="shared" si="11"/>
        <v>17.78561582</v>
      </c>
      <c r="K26" s="188">
        <f t="shared" si="11"/>
        <v>18.03043895</v>
      </c>
    </row>
    <row r="27">
      <c r="G27" s="189" t="s">
        <v>271</v>
      </c>
      <c r="H27" s="189">
        <v>18.0</v>
      </c>
      <c r="I27" s="189">
        <v>22.0</v>
      </c>
      <c r="J27" s="189">
        <v>28.0</v>
      </c>
      <c r="K27" s="189">
        <v>30.0</v>
      </c>
    </row>
    <row r="28">
      <c r="G28" s="190" t="s">
        <v>10</v>
      </c>
      <c r="H28" s="191">
        <f t="shared" ref="H28:K28" si="12">H27-H26</f>
        <v>7.030867981</v>
      </c>
      <c r="I28" s="191">
        <f t="shared" si="12"/>
        <v>8.805456416</v>
      </c>
      <c r="J28" s="191">
        <f t="shared" si="12"/>
        <v>10.21438418</v>
      </c>
      <c r="K28" s="191">
        <f t="shared" si="12"/>
        <v>11.96956105</v>
      </c>
    </row>
    <row r="32">
      <c r="C32" s="1" t="s">
        <v>376</v>
      </c>
    </row>
    <row r="33">
      <c r="A33" s="182" t="s">
        <v>193</v>
      </c>
      <c r="B33" s="182" t="s">
        <v>115</v>
      </c>
      <c r="C33" s="182" t="s">
        <v>120</v>
      </c>
      <c r="D33" s="182" t="s">
        <v>358</v>
      </c>
      <c r="E33" s="182" t="s">
        <v>337</v>
      </c>
      <c r="F33" s="182" t="s">
        <v>8</v>
      </c>
      <c r="G33" s="182" t="s">
        <v>359</v>
      </c>
      <c r="H33" s="4" t="s">
        <v>360</v>
      </c>
      <c r="I33" s="4" t="s">
        <v>361</v>
      </c>
      <c r="J33" s="4" t="s">
        <v>362</v>
      </c>
      <c r="K33" s="4" t="s">
        <v>363</v>
      </c>
    </row>
    <row r="34">
      <c r="A34" s="183" t="s">
        <v>364</v>
      </c>
      <c r="B34" s="183">
        <v>125.0</v>
      </c>
      <c r="C34" s="183">
        <v>175.0</v>
      </c>
      <c r="D34" s="183">
        <v>245.0</v>
      </c>
      <c r="E34" s="183">
        <v>345.0</v>
      </c>
      <c r="F34" s="183">
        <v>1.65</v>
      </c>
      <c r="G34" s="183">
        <v>735.0</v>
      </c>
      <c r="H34" s="184">
        <f t="shared" ref="H34:H42" si="13">B34*F34/G34</f>
        <v>0.2806122449</v>
      </c>
      <c r="I34" s="184">
        <f t="shared" ref="I34:I42" si="14">C34*F34/G34</f>
        <v>0.3928571429</v>
      </c>
      <c r="J34" s="184">
        <f t="shared" ref="J34:J42" si="15">D34*F34/G34</f>
        <v>0.55</v>
      </c>
      <c r="K34" s="184">
        <f t="shared" ref="K34:K42" si="16">E34*F34/G34</f>
        <v>0.7744897959</v>
      </c>
    </row>
    <row r="35">
      <c r="A35" s="183" t="s">
        <v>365</v>
      </c>
      <c r="B35" s="183">
        <v>100.0</v>
      </c>
      <c r="C35" s="183">
        <v>150.0</v>
      </c>
      <c r="D35" s="183">
        <v>200.0</v>
      </c>
      <c r="E35" s="183">
        <v>300.0</v>
      </c>
      <c r="F35" s="183">
        <v>2.39</v>
      </c>
      <c r="G35" s="183">
        <v>250.0</v>
      </c>
      <c r="H35" s="184">
        <f t="shared" si="13"/>
        <v>0.956</v>
      </c>
      <c r="I35" s="184">
        <f t="shared" si="14"/>
        <v>1.434</v>
      </c>
      <c r="J35" s="184">
        <f t="shared" si="15"/>
        <v>1.912</v>
      </c>
      <c r="K35" s="184">
        <f t="shared" si="16"/>
        <v>2.868</v>
      </c>
    </row>
    <row r="36">
      <c r="A36" s="183" t="s">
        <v>366</v>
      </c>
      <c r="B36" s="183">
        <v>100.0</v>
      </c>
      <c r="C36" s="183">
        <v>150.0</v>
      </c>
      <c r="D36" s="183">
        <v>200.0</v>
      </c>
      <c r="E36" s="183">
        <v>250.0</v>
      </c>
      <c r="F36" s="183">
        <v>2.65</v>
      </c>
      <c r="G36" s="183">
        <v>250.0</v>
      </c>
      <c r="H36" s="184">
        <f t="shared" si="13"/>
        <v>1.06</v>
      </c>
      <c r="I36" s="184">
        <f t="shared" si="14"/>
        <v>1.59</v>
      </c>
      <c r="J36" s="184">
        <f t="shared" si="15"/>
        <v>2.12</v>
      </c>
      <c r="K36" s="184">
        <f t="shared" si="16"/>
        <v>2.65</v>
      </c>
    </row>
    <row r="37">
      <c r="A37" s="183" t="s">
        <v>377</v>
      </c>
      <c r="B37" s="183">
        <v>100.0</v>
      </c>
      <c r="C37" s="183">
        <v>150.0</v>
      </c>
      <c r="D37" s="183">
        <v>200.0</v>
      </c>
      <c r="E37" s="183">
        <v>250.0</v>
      </c>
      <c r="F37" s="183">
        <v>5.0</v>
      </c>
      <c r="G37" s="183">
        <v>1000.0</v>
      </c>
      <c r="H37" s="184">
        <f t="shared" si="13"/>
        <v>0.5</v>
      </c>
      <c r="I37" s="184">
        <f t="shared" si="14"/>
        <v>0.75</v>
      </c>
      <c r="J37" s="184">
        <f t="shared" si="15"/>
        <v>1</v>
      </c>
      <c r="K37" s="184">
        <f t="shared" si="16"/>
        <v>1.25</v>
      </c>
    </row>
    <row r="38">
      <c r="A38" s="183" t="s">
        <v>367</v>
      </c>
      <c r="B38" s="183">
        <v>100.0</v>
      </c>
      <c r="C38" s="183">
        <v>150.0</v>
      </c>
      <c r="D38" s="183">
        <v>200.0</v>
      </c>
      <c r="E38" s="183">
        <v>250.0</v>
      </c>
      <c r="F38" s="183">
        <v>2.78</v>
      </c>
      <c r="G38" s="183">
        <v>250.0</v>
      </c>
      <c r="H38" s="184">
        <f t="shared" si="13"/>
        <v>1.112</v>
      </c>
      <c r="I38" s="184">
        <f t="shared" si="14"/>
        <v>1.668</v>
      </c>
      <c r="J38" s="184">
        <f t="shared" si="15"/>
        <v>2.224</v>
      </c>
      <c r="K38" s="184">
        <f t="shared" si="16"/>
        <v>2.78</v>
      </c>
    </row>
    <row r="39">
      <c r="A39" s="183" t="s">
        <v>309</v>
      </c>
      <c r="B39" s="183">
        <v>100.0</v>
      </c>
      <c r="C39" s="183">
        <v>150.0</v>
      </c>
      <c r="D39" s="183">
        <v>200.0</v>
      </c>
      <c r="E39" s="183">
        <v>300.0</v>
      </c>
      <c r="F39" s="183">
        <v>2.39</v>
      </c>
      <c r="G39" s="183">
        <v>600.0</v>
      </c>
      <c r="H39" s="184">
        <f t="shared" si="13"/>
        <v>0.3983333333</v>
      </c>
      <c r="I39" s="184">
        <f t="shared" si="14"/>
        <v>0.5975</v>
      </c>
      <c r="J39" s="184">
        <f t="shared" si="15"/>
        <v>0.7966666667</v>
      </c>
      <c r="K39" s="184">
        <f t="shared" si="16"/>
        <v>1.195</v>
      </c>
    </row>
    <row r="40">
      <c r="A40" s="183" t="s">
        <v>368</v>
      </c>
      <c r="B40" s="183">
        <v>1.0</v>
      </c>
      <c r="C40" s="183">
        <v>1.0</v>
      </c>
      <c r="D40" s="183">
        <v>1.0</v>
      </c>
      <c r="E40" s="183">
        <v>1.0</v>
      </c>
      <c r="F40" s="183">
        <v>0.59</v>
      </c>
      <c r="G40" s="183">
        <v>1.0</v>
      </c>
      <c r="H40" s="184">
        <f t="shared" si="13"/>
        <v>0.59</v>
      </c>
      <c r="I40" s="184">
        <f t="shared" si="14"/>
        <v>0.59</v>
      </c>
      <c r="J40" s="184">
        <f t="shared" si="15"/>
        <v>0.59</v>
      </c>
      <c r="K40" s="184">
        <f t="shared" si="16"/>
        <v>0.59</v>
      </c>
    </row>
    <row r="41">
      <c r="A41" s="183" t="s">
        <v>255</v>
      </c>
      <c r="B41" s="183">
        <v>5.0</v>
      </c>
      <c r="C41" s="183">
        <v>5.0</v>
      </c>
      <c r="D41" s="183">
        <v>4.0</v>
      </c>
      <c r="E41" s="183">
        <v>4.0</v>
      </c>
      <c r="F41" s="183">
        <v>6.9</v>
      </c>
      <c r="G41" s="183">
        <v>236.0</v>
      </c>
      <c r="H41" s="184">
        <f t="shared" si="13"/>
        <v>0.1461864407</v>
      </c>
      <c r="I41" s="184">
        <f t="shared" si="14"/>
        <v>0.1461864407</v>
      </c>
      <c r="J41" s="184">
        <f t="shared" si="15"/>
        <v>0.1169491525</v>
      </c>
      <c r="K41" s="184">
        <f t="shared" si="16"/>
        <v>0.1169491525</v>
      </c>
    </row>
    <row r="42">
      <c r="A42" s="183" t="s">
        <v>378</v>
      </c>
      <c r="B42" s="183">
        <v>100.0</v>
      </c>
      <c r="C42" s="183">
        <v>150.0</v>
      </c>
      <c r="D42" s="183">
        <v>200.0</v>
      </c>
      <c r="E42" s="183">
        <v>250.0</v>
      </c>
      <c r="F42" s="183">
        <v>5.0</v>
      </c>
      <c r="G42" s="183">
        <v>1000.0</v>
      </c>
      <c r="H42" s="184">
        <f t="shared" si="13"/>
        <v>0.5</v>
      </c>
      <c r="I42" s="184">
        <f t="shared" si="14"/>
        <v>0.75</v>
      </c>
      <c r="J42" s="184">
        <f t="shared" si="15"/>
        <v>1</v>
      </c>
      <c r="K42" s="184">
        <f t="shared" si="16"/>
        <v>1.25</v>
      </c>
    </row>
    <row r="43">
      <c r="H43" s="185">
        <f t="shared" ref="H43:K43" si="17">SUM(H34:H42)</f>
        <v>5.543132019</v>
      </c>
      <c r="I43" s="185">
        <f t="shared" si="17"/>
        <v>7.918543584</v>
      </c>
      <c r="J43" s="185">
        <f t="shared" si="17"/>
        <v>10.30961582</v>
      </c>
      <c r="K43" s="185">
        <f t="shared" si="17"/>
        <v>13.47443895</v>
      </c>
    </row>
    <row r="44">
      <c r="A44" s="183" t="s">
        <v>369</v>
      </c>
      <c r="B44" s="183">
        <v>0.6</v>
      </c>
      <c r="C44" s="183">
        <v>0.6</v>
      </c>
      <c r="D44" s="183">
        <v>0.6</v>
      </c>
      <c r="E44" s="183">
        <v>0.6</v>
      </c>
      <c r="F44" s="183">
        <v>2.35</v>
      </c>
      <c r="G44" s="183">
        <v>30.0</v>
      </c>
      <c r="H44" s="184">
        <f t="shared" ref="H44:H52" si="18">B44*F44/G44</f>
        <v>0.047</v>
      </c>
      <c r="I44" s="184">
        <f t="shared" ref="I44:I52" si="19">C44*F44/G44</f>
        <v>0.047</v>
      </c>
      <c r="J44" s="184">
        <f t="shared" ref="J44:J52" si="20">D44*F44/G44</f>
        <v>0.047</v>
      </c>
      <c r="K44" s="184">
        <f t="shared" ref="K44:K52" si="21">E44*F44/G44</f>
        <v>0.047</v>
      </c>
    </row>
    <row r="45">
      <c r="A45" s="183" t="s">
        <v>267</v>
      </c>
      <c r="B45" s="183">
        <v>1.0</v>
      </c>
      <c r="C45" s="183">
        <v>1.0</v>
      </c>
      <c r="D45" s="183">
        <v>1.0</v>
      </c>
      <c r="E45" s="183">
        <v>1.0</v>
      </c>
      <c r="F45" s="183">
        <v>1.13</v>
      </c>
      <c r="G45" s="183">
        <v>20.0</v>
      </c>
      <c r="H45" s="184">
        <f t="shared" si="18"/>
        <v>0.0565</v>
      </c>
      <c r="I45" s="184">
        <f t="shared" si="19"/>
        <v>0.0565</v>
      </c>
      <c r="J45" s="184">
        <f t="shared" si="20"/>
        <v>0.0565</v>
      </c>
      <c r="K45" s="184">
        <f t="shared" si="21"/>
        <v>0.0565</v>
      </c>
    </row>
    <row r="46">
      <c r="A46" s="183" t="s">
        <v>266</v>
      </c>
      <c r="B46" s="183">
        <v>1.0</v>
      </c>
      <c r="C46" s="183">
        <v>1.0</v>
      </c>
      <c r="D46" s="183">
        <v>1.0</v>
      </c>
      <c r="E46" s="183">
        <v>1.0</v>
      </c>
      <c r="F46" s="183">
        <v>1.13</v>
      </c>
      <c r="G46" s="183">
        <v>20.0</v>
      </c>
      <c r="H46" s="184">
        <f t="shared" si="18"/>
        <v>0.0565</v>
      </c>
      <c r="I46" s="184">
        <f t="shared" si="19"/>
        <v>0.0565</v>
      </c>
      <c r="J46" s="184">
        <f t="shared" si="20"/>
        <v>0.0565</v>
      </c>
      <c r="K46" s="184">
        <f t="shared" si="21"/>
        <v>0.0565</v>
      </c>
    </row>
    <row r="47">
      <c r="A47" s="183" t="s">
        <v>370</v>
      </c>
      <c r="B47" s="183">
        <v>1.0</v>
      </c>
      <c r="C47" s="183">
        <v>1.0</v>
      </c>
      <c r="D47" s="183">
        <v>1.0</v>
      </c>
      <c r="E47" s="183">
        <v>1.0</v>
      </c>
      <c r="F47" s="183">
        <v>0.75</v>
      </c>
      <c r="G47" s="183">
        <v>1.0</v>
      </c>
      <c r="H47" s="184">
        <f t="shared" si="18"/>
        <v>0.75</v>
      </c>
      <c r="I47" s="184">
        <f t="shared" si="19"/>
        <v>0.75</v>
      </c>
      <c r="J47" s="184">
        <f t="shared" si="20"/>
        <v>0.75</v>
      </c>
      <c r="K47" s="184">
        <f t="shared" si="21"/>
        <v>0.75</v>
      </c>
    </row>
    <row r="48">
      <c r="A48" s="183" t="s">
        <v>371</v>
      </c>
      <c r="B48" s="183">
        <v>1.0</v>
      </c>
      <c r="C48" s="183">
        <v>1.0</v>
      </c>
      <c r="D48" s="183">
        <v>1.0</v>
      </c>
      <c r="E48" s="183">
        <v>1.0</v>
      </c>
      <c r="F48" s="183">
        <v>1.0</v>
      </c>
      <c r="G48" s="183">
        <v>20.0</v>
      </c>
      <c r="H48" s="184">
        <f t="shared" si="18"/>
        <v>0.05</v>
      </c>
      <c r="I48" s="184">
        <f t="shared" si="19"/>
        <v>0.05</v>
      </c>
      <c r="J48" s="184">
        <f t="shared" si="20"/>
        <v>0.05</v>
      </c>
      <c r="K48" s="184">
        <f t="shared" si="21"/>
        <v>0.05</v>
      </c>
    </row>
    <row r="49">
      <c r="A49" s="183" t="s">
        <v>372</v>
      </c>
      <c r="B49" s="183">
        <v>1.0</v>
      </c>
      <c r="C49" s="184"/>
      <c r="D49" s="183">
        <v>1.0</v>
      </c>
      <c r="E49" s="184"/>
      <c r="F49" s="183">
        <v>0.75</v>
      </c>
      <c r="G49" s="183">
        <v>1.0</v>
      </c>
      <c r="H49" s="184">
        <f t="shared" si="18"/>
        <v>0.75</v>
      </c>
      <c r="I49" s="184">
        <f t="shared" si="19"/>
        <v>0</v>
      </c>
      <c r="J49" s="184">
        <f t="shared" si="20"/>
        <v>0.75</v>
      </c>
      <c r="K49" s="184">
        <f t="shared" si="21"/>
        <v>0</v>
      </c>
    </row>
    <row r="50">
      <c r="A50" s="183" t="s">
        <v>373</v>
      </c>
      <c r="B50" s="184"/>
      <c r="C50" s="183">
        <v>1.0</v>
      </c>
      <c r="D50" s="183">
        <v>1.0</v>
      </c>
      <c r="E50" s="183">
        <v>1.0</v>
      </c>
      <c r="F50" s="183">
        <v>0.85</v>
      </c>
      <c r="G50" s="183">
        <v>1.0</v>
      </c>
      <c r="H50" s="184">
        <f t="shared" si="18"/>
        <v>0</v>
      </c>
      <c r="I50" s="184">
        <f t="shared" si="19"/>
        <v>0.85</v>
      </c>
      <c r="J50" s="184">
        <f t="shared" si="20"/>
        <v>0.85</v>
      </c>
      <c r="K50" s="184">
        <f t="shared" si="21"/>
        <v>0.85</v>
      </c>
    </row>
    <row r="51">
      <c r="A51" s="183" t="s">
        <v>374</v>
      </c>
      <c r="B51" s="183">
        <v>1.0</v>
      </c>
      <c r="C51" s="184"/>
      <c r="D51" s="183">
        <v>1.0</v>
      </c>
      <c r="E51" s="184"/>
      <c r="F51" s="183">
        <v>1.95</v>
      </c>
      <c r="G51" s="183">
        <v>1.0</v>
      </c>
      <c r="H51" s="184">
        <f t="shared" si="18"/>
        <v>1.95</v>
      </c>
      <c r="I51" s="184">
        <f t="shared" si="19"/>
        <v>0</v>
      </c>
      <c r="J51" s="184">
        <f t="shared" si="20"/>
        <v>1.95</v>
      </c>
      <c r="K51" s="184">
        <f t="shared" si="21"/>
        <v>0</v>
      </c>
    </row>
    <row r="52">
      <c r="A52" s="183" t="s">
        <v>375</v>
      </c>
      <c r="B52" s="184"/>
      <c r="C52" s="183">
        <v>1.0</v>
      </c>
      <c r="D52" s="183">
        <v>1.0</v>
      </c>
      <c r="E52" s="183">
        <v>1.0</v>
      </c>
      <c r="F52" s="183">
        <v>2.2</v>
      </c>
      <c r="G52" s="183">
        <v>1.0</v>
      </c>
      <c r="H52" s="184">
        <f t="shared" si="18"/>
        <v>0</v>
      </c>
      <c r="I52" s="184">
        <f t="shared" si="19"/>
        <v>2.2</v>
      </c>
      <c r="J52" s="184">
        <f t="shared" si="20"/>
        <v>2.2</v>
      </c>
      <c r="K52" s="184">
        <f t="shared" si="21"/>
        <v>2.2</v>
      </c>
    </row>
    <row r="53">
      <c r="H53" s="186">
        <f>SUM( H44:H52)</f>
        <v>3.66</v>
      </c>
      <c r="I53" s="186">
        <f t="shared" ref="I53:K53" si="22">SUM(I44:I52)</f>
        <v>4.01</v>
      </c>
      <c r="J53" s="186">
        <f t="shared" si="22"/>
        <v>6.71</v>
      </c>
      <c r="K53" s="186">
        <f t="shared" si="22"/>
        <v>4.01</v>
      </c>
    </row>
    <row r="55">
      <c r="G55" s="4" t="s">
        <v>270</v>
      </c>
      <c r="H55" s="1">
        <f t="shared" ref="H55:K55" si="23">SUM(H43+H53)</f>
        <v>9.203132019</v>
      </c>
      <c r="I55" s="1">
        <f t="shared" si="23"/>
        <v>11.92854358</v>
      </c>
      <c r="J55" s="1">
        <f t="shared" si="23"/>
        <v>17.01961582</v>
      </c>
      <c r="K55" s="1">
        <f t="shared" si="23"/>
        <v>17.48443895</v>
      </c>
    </row>
    <row r="56">
      <c r="G56" s="4" t="s">
        <v>271</v>
      </c>
      <c r="H56" s="4">
        <v>18.0</v>
      </c>
      <c r="I56" s="4">
        <v>22.0</v>
      </c>
      <c r="J56" s="4">
        <v>28.0</v>
      </c>
      <c r="K56" s="4">
        <v>30.0</v>
      </c>
    </row>
    <row r="57">
      <c r="G57" s="4" t="s">
        <v>10</v>
      </c>
      <c r="H57" s="5">
        <f t="shared" ref="H57:K57" si="24">SUM(H56-H55)</f>
        <v>8.796867981</v>
      </c>
      <c r="I57" s="5">
        <f t="shared" si="24"/>
        <v>10.07145642</v>
      </c>
      <c r="J57" s="5">
        <f t="shared" si="24"/>
        <v>10.98038418</v>
      </c>
      <c r="K57" s="5">
        <f t="shared" si="24"/>
        <v>12.51556105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139</v>
      </c>
    </row>
    <row r="3">
      <c r="A3" s="113"/>
      <c r="B3" s="114" t="s">
        <v>193</v>
      </c>
      <c r="C3" s="113" t="s">
        <v>297</v>
      </c>
      <c r="D3" s="113" t="s">
        <v>298</v>
      </c>
      <c r="E3" s="113" t="s">
        <v>299</v>
      </c>
      <c r="F3" s="113" t="s">
        <v>300</v>
      </c>
      <c r="G3" s="113" t="s">
        <v>247</v>
      </c>
      <c r="H3" s="113" t="s">
        <v>248</v>
      </c>
      <c r="I3" s="113" t="s">
        <v>249</v>
      </c>
      <c r="J3" s="113" t="s">
        <v>250</v>
      </c>
      <c r="K3" s="113" t="s">
        <v>301</v>
      </c>
      <c r="L3" s="113" t="s">
        <v>302</v>
      </c>
    </row>
    <row r="4">
      <c r="A4" s="33"/>
      <c r="B4" s="115"/>
      <c r="C4" s="115"/>
      <c r="D4" s="115"/>
      <c r="E4" s="115"/>
      <c r="F4" s="115"/>
      <c r="G4" s="115"/>
      <c r="H4" s="115"/>
      <c r="I4" s="115"/>
      <c r="J4" s="116"/>
      <c r="K4" s="116"/>
      <c r="L4" s="116"/>
    </row>
    <row r="5">
      <c r="A5" s="117" t="s">
        <v>303</v>
      </c>
      <c r="B5" s="86" t="s">
        <v>205</v>
      </c>
      <c r="C5" s="83">
        <v>150.0</v>
      </c>
      <c r="D5" s="83">
        <v>180.0</v>
      </c>
      <c r="E5" s="83">
        <v>240.0</v>
      </c>
      <c r="F5" s="83">
        <v>270.0</v>
      </c>
      <c r="G5" s="86">
        <v>1000.0</v>
      </c>
      <c r="H5" s="87">
        <v>1.07</v>
      </c>
      <c r="I5" s="84">
        <f t="shared" ref="I5:I8" si="1">(C5*H5)/G5</f>
        <v>0.1605</v>
      </c>
      <c r="J5" s="118">
        <f t="shared" ref="J5:J7" si="2">D6*H6/G6</f>
        <v>1.25</v>
      </c>
      <c r="K5" s="118">
        <f t="shared" ref="K5:K8" si="3">(E5*H5)/G5</f>
        <v>0.2568</v>
      </c>
      <c r="L5" s="118">
        <f t="shared" ref="L5:L8" si="4">(F5*H5)/G5</f>
        <v>0.2889</v>
      </c>
    </row>
    <row r="6">
      <c r="A6" s="117" t="s">
        <v>255</v>
      </c>
      <c r="B6" s="86" t="s">
        <v>203</v>
      </c>
      <c r="C6" s="86">
        <v>5.0</v>
      </c>
      <c r="D6" s="83">
        <v>6.0</v>
      </c>
      <c r="E6" s="83">
        <v>8.0</v>
      </c>
      <c r="F6" s="83">
        <v>9.0</v>
      </c>
      <c r="G6" s="86">
        <v>12.0</v>
      </c>
      <c r="H6" s="87">
        <v>2.5</v>
      </c>
      <c r="I6" s="84">
        <f t="shared" si="1"/>
        <v>1.041666667</v>
      </c>
      <c r="J6" s="118">
        <f t="shared" si="2"/>
        <v>0.225</v>
      </c>
      <c r="K6" s="118">
        <f t="shared" si="3"/>
        <v>1.666666667</v>
      </c>
      <c r="L6" s="118">
        <f t="shared" si="4"/>
        <v>1.875</v>
      </c>
    </row>
    <row r="7">
      <c r="A7" s="62"/>
      <c r="B7" s="86" t="s">
        <v>304</v>
      </c>
      <c r="C7" s="83">
        <v>150.0</v>
      </c>
      <c r="D7" s="83">
        <v>180.0</v>
      </c>
      <c r="E7" s="83">
        <v>240.0</v>
      </c>
      <c r="F7" s="83">
        <v>270.0</v>
      </c>
      <c r="G7" s="86">
        <v>1000.0</v>
      </c>
      <c r="H7" s="87">
        <v>1.25</v>
      </c>
      <c r="I7" s="84">
        <f t="shared" si="1"/>
        <v>0.1875</v>
      </c>
      <c r="J7" s="118">
        <f t="shared" si="2"/>
        <v>0.2923728814</v>
      </c>
      <c r="K7" s="118">
        <f t="shared" si="3"/>
        <v>0.3</v>
      </c>
      <c r="L7" s="118">
        <f t="shared" si="4"/>
        <v>0.3375</v>
      </c>
    </row>
    <row r="8">
      <c r="A8" s="62"/>
      <c r="B8" s="86" t="s">
        <v>207</v>
      </c>
      <c r="C8" s="83">
        <v>5.0</v>
      </c>
      <c r="D8" s="83">
        <v>10.0</v>
      </c>
      <c r="E8" s="83">
        <v>10.0</v>
      </c>
      <c r="F8" s="83">
        <v>15.0</v>
      </c>
      <c r="G8" s="83">
        <v>236.0</v>
      </c>
      <c r="H8" s="87">
        <v>6.9</v>
      </c>
      <c r="I8" s="84">
        <f t="shared" si="1"/>
        <v>0.1461864407</v>
      </c>
      <c r="J8" s="118">
        <f>D8*H8/G8</f>
        <v>0.2923728814</v>
      </c>
      <c r="K8" s="118">
        <f t="shared" si="3"/>
        <v>0.2923728814</v>
      </c>
      <c r="L8" s="118">
        <f t="shared" si="4"/>
        <v>0.438559322</v>
      </c>
    </row>
    <row r="9">
      <c r="A9" s="33"/>
      <c r="B9" s="115"/>
      <c r="C9" s="115"/>
      <c r="D9" s="115"/>
      <c r="E9" s="115"/>
      <c r="F9" s="115"/>
      <c r="G9" s="115"/>
      <c r="H9" s="119"/>
      <c r="I9" s="120">
        <f t="shared" ref="I9:L9" si="5">SUM(I5:I8)</f>
        <v>1.535853107</v>
      </c>
      <c r="J9" s="118">
        <f t="shared" si="5"/>
        <v>2.059745763</v>
      </c>
      <c r="K9" s="121">
        <f t="shared" si="5"/>
        <v>2.515839548</v>
      </c>
      <c r="L9" s="121">
        <f t="shared" si="5"/>
        <v>2.939959322</v>
      </c>
    </row>
    <row r="11">
      <c r="A11" s="125"/>
      <c r="B11" s="126" t="s">
        <v>304</v>
      </c>
      <c r="C11" s="126">
        <v>100.0</v>
      </c>
      <c r="D11" s="126">
        <v>120.0</v>
      </c>
      <c r="E11" s="126">
        <v>150.0</v>
      </c>
      <c r="F11" s="126">
        <v>200.0</v>
      </c>
      <c r="G11" s="126">
        <v>1000.0</v>
      </c>
      <c r="H11" s="126">
        <v>1.25</v>
      </c>
      <c r="I11" s="127">
        <f t="shared" ref="I11:I13" si="6">(C11*H11)/G11</f>
        <v>0.125</v>
      </c>
      <c r="J11" s="128">
        <f t="shared" ref="J11:J13" si="7">D11*H11/G11</f>
        <v>0.15</v>
      </c>
      <c r="K11" s="127">
        <f t="shared" ref="K11:K13" si="8">(E11*H11)/G11</f>
        <v>0.1875</v>
      </c>
      <c r="L11" s="127">
        <f t="shared" ref="L11:L13" si="9">(F11*H11)/G11</f>
        <v>0.25</v>
      </c>
    </row>
    <row r="12">
      <c r="A12" s="129" t="s">
        <v>305</v>
      </c>
      <c r="B12" s="126" t="s">
        <v>206</v>
      </c>
      <c r="C12" s="126">
        <v>100.0</v>
      </c>
      <c r="D12" s="126">
        <v>120.0</v>
      </c>
      <c r="E12" s="126">
        <v>150.0</v>
      </c>
      <c r="F12" s="126">
        <v>200.0</v>
      </c>
      <c r="G12" s="126">
        <v>1000.0</v>
      </c>
      <c r="H12" s="126">
        <v>0.25</v>
      </c>
      <c r="I12" s="127">
        <f t="shared" si="6"/>
        <v>0.025</v>
      </c>
      <c r="J12" s="128">
        <f t="shared" si="7"/>
        <v>0.03</v>
      </c>
      <c r="K12" s="127">
        <f t="shared" si="8"/>
        <v>0.0375</v>
      </c>
      <c r="L12" s="127">
        <f t="shared" si="9"/>
        <v>0.05</v>
      </c>
    </row>
    <row r="13">
      <c r="A13" s="125"/>
      <c r="B13" s="126" t="s">
        <v>207</v>
      </c>
      <c r="C13" s="126">
        <v>3.0</v>
      </c>
      <c r="D13" s="126">
        <v>4.0</v>
      </c>
      <c r="E13" s="126">
        <v>5.0</v>
      </c>
      <c r="F13" s="126">
        <v>9.0</v>
      </c>
      <c r="G13" s="126">
        <v>236.0</v>
      </c>
      <c r="H13" s="126">
        <v>6.9</v>
      </c>
      <c r="I13" s="127">
        <f t="shared" si="6"/>
        <v>0.08771186441</v>
      </c>
      <c r="J13" s="128">
        <f t="shared" si="7"/>
        <v>0.1169491525</v>
      </c>
      <c r="K13" s="127">
        <f t="shared" si="8"/>
        <v>0.1461864407</v>
      </c>
      <c r="L13" s="127">
        <f t="shared" si="9"/>
        <v>0.2631355932</v>
      </c>
    </row>
    <row r="14">
      <c r="A14" s="125"/>
      <c r="B14" s="125"/>
      <c r="C14" s="125"/>
      <c r="D14" s="125"/>
      <c r="E14" s="125"/>
      <c r="F14" s="125"/>
      <c r="G14" s="125"/>
      <c r="H14" s="125"/>
      <c r="I14" s="130">
        <f t="shared" ref="I14:L14" si="10">SUM(I11:I13)</f>
        <v>0.2377118644</v>
      </c>
      <c r="J14" s="131">
        <f t="shared" si="10"/>
        <v>0.2969491525</v>
      </c>
      <c r="K14" s="130">
        <f t="shared" si="10"/>
        <v>0.3711864407</v>
      </c>
      <c r="L14" s="130">
        <f t="shared" si="10"/>
        <v>0.5631355932</v>
      </c>
    </row>
    <row r="15">
      <c r="A15" s="134" t="s">
        <v>259</v>
      </c>
      <c r="B15" s="135" t="s">
        <v>379</v>
      </c>
      <c r="C15" s="135">
        <v>150.0</v>
      </c>
      <c r="D15" s="135">
        <v>200.0</v>
      </c>
      <c r="E15" s="135">
        <v>200.0</v>
      </c>
      <c r="F15" s="135">
        <v>250.0</v>
      </c>
      <c r="G15" s="135">
        <v>1000.0</v>
      </c>
      <c r="H15" s="135">
        <v>3.85</v>
      </c>
      <c r="I15" s="136">
        <f t="shared" ref="I15:I19" si="11">(C15*H15)/G15</f>
        <v>0.5775</v>
      </c>
      <c r="J15" s="128">
        <f t="shared" ref="J15:J19" si="12">D15*H15/G15</f>
        <v>0.77</v>
      </c>
      <c r="K15" s="136">
        <f t="shared" ref="K15:K19" si="13">(E15*H15)/G15</f>
        <v>0.77</v>
      </c>
      <c r="L15" s="136">
        <f t="shared" ref="L15:L19" si="14">(F15*H15)/G15</f>
        <v>0.9625</v>
      </c>
    </row>
    <row r="16">
      <c r="A16" s="134" t="s">
        <v>380</v>
      </c>
      <c r="B16" s="135" t="s">
        <v>308</v>
      </c>
      <c r="C16" s="135">
        <v>300.0</v>
      </c>
      <c r="D16" s="135">
        <v>300.0</v>
      </c>
      <c r="E16" s="135">
        <v>600.0</v>
      </c>
      <c r="F16" s="135">
        <v>700.0</v>
      </c>
      <c r="G16" s="135">
        <v>600.0</v>
      </c>
      <c r="H16" s="135">
        <v>2.19</v>
      </c>
      <c r="I16" s="136">
        <f t="shared" si="11"/>
        <v>1.095</v>
      </c>
      <c r="J16" s="128">
        <f t="shared" si="12"/>
        <v>1.095</v>
      </c>
      <c r="K16" s="136">
        <f t="shared" si="13"/>
        <v>2.19</v>
      </c>
      <c r="L16" s="136">
        <f t="shared" si="14"/>
        <v>2.555</v>
      </c>
    </row>
    <row r="17">
      <c r="A17" s="134" t="s">
        <v>381</v>
      </c>
      <c r="B17" s="135" t="s">
        <v>304</v>
      </c>
      <c r="C17" s="135">
        <v>80.0</v>
      </c>
      <c r="D17" s="135">
        <v>80.0</v>
      </c>
      <c r="E17" s="135">
        <v>90.0</v>
      </c>
      <c r="F17" s="135">
        <v>100.0</v>
      </c>
      <c r="G17" s="135">
        <v>1000.0</v>
      </c>
      <c r="H17" s="135">
        <v>1.25</v>
      </c>
      <c r="I17" s="136">
        <f t="shared" si="11"/>
        <v>0.1</v>
      </c>
      <c r="J17" s="128">
        <f t="shared" si="12"/>
        <v>0.1</v>
      </c>
      <c r="K17" s="136">
        <f t="shared" si="13"/>
        <v>0.1125</v>
      </c>
      <c r="L17" s="136">
        <f t="shared" si="14"/>
        <v>0.125</v>
      </c>
    </row>
    <row r="18">
      <c r="A18" s="125"/>
      <c r="B18" s="135" t="s">
        <v>207</v>
      </c>
      <c r="C18" s="135">
        <v>5.0</v>
      </c>
      <c r="D18" s="135">
        <v>5.0</v>
      </c>
      <c r="E18" s="135">
        <v>7.0</v>
      </c>
      <c r="F18" s="135">
        <v>9.0</v>
      </c>
      <c r="G18" s="135">
        <v>236.0</v>
      </c>
      <c r="H18" s="135">
        <v>6.9</v>
      </c>
      <c r="I18" s="136">
        <f t="shared" si="11"/>
        <v>0.1461864407</v>
      </c>
      <c r="J18" s="128">
        <f t="shared" si="12"/>
        <v>0.1461864407</v>
      </c>
      <c r="K18" s="136">
        <f t="shared" si="13"/>
        <v>0.2046610169</v>
      </c>
      <c r="L18" s="136">
        <f t="shared" si="14"/>
        <v>0.2631355932</v>
      </c>
    </row>
    <row r="19">
      <c r="A19" s="125"/>
      <c r="B19" s="135" t="s">
        <v>382</v>
      </c>
      <c r="C19" s="135">
        <v>100.0</v>
      </c>
      <c r="D19" s="135">
        <v>120.0</v>
      </c>
      <c r="E19" s="135">
        <v>150.0</v>
      </c>
      <c r="F19" s="135">
        <v>200.0</v>
      </c>
      <c r="G19" s="135">
        <v>1000.0</v>
      </c>
      <c r="H19" s="135">
        <v>5.0</v>
      </c>
      <c r="I19" s="136">
        <f t="shared" si="11"/>
        <v>0.5</v>
      </c>
      <c r="J19" s="128">
        <f t="shared" si="12"/>
        <v>0.6</v>
      </c>
      <c r="K19" s="136">
        <f t="shared" si="13"/>
        <v>0.75</v>
      </c>
      <c r="L19" s="136">
        <f t="shared" si="14"/>
        <v>1</v>
      </c>
    </row>
    <row r="20">
      <c r="A20" s="125"/>
      <c r="B20" s="125"/>
      <c r="C20" s="125"/>
      <c r="D20" s="125"/>
      <c r="E20" s="125"/>
      <c r="F20" s="125"/>
      <c r="G20" s="125"/>
      <c r="H20" s="125"/>
      <c r="I20" s="137">
        <f t="shared" ref="I20:L20" si="15">SUM(I15:I19)</f>
        <v>2.418686441</v>
      </c>
      <c r="J20" s="131">
        <f t="shared" si="15"/>
        <v>2.711186441</v>
      </c>
      <c r="K20" s="137">
        <f t="shared" si="15"/>
        <v>4.027161017</v>
      </c>
      <c r="L20" s="137">
        <f t="shared" si="15"/>
        <v>4.905635593</v>
      </c>
    </row>
    <row r="22">
      <c r="A22" s="138" t="s">
        <v>311</v>
      </c>
      <c r="B22" s="139" t="s">
        <v>308</v>
      </c>
      <c r="C22" s="139">
        <v>300.0</v>
      </c>
      <c r="D22" s="139">
        <v>350.0</v>
      </c>
      <c r="E22" s="139">
        <v>300.0</v>
      </c>
      <c r="F22" s="139">
        <v>400.0</v>
      </c>
      <c r="G22" s="139">
        <v>600.0</v>
      </c>
      <c r="H22" s="139">
        <v>2.19</v>
      </c>
      <c r="I22" s="140">
        <f t="shared" ref="I22:I25" si="16">(C22*H22)/G22</f>
        <v>1.095</v>
      </c>
      <c r="J22" s="128">
        <f t="shared" ref="J22:J25" si="17">D22*H22/G22</f>
        <v>1.2775</v>
      </c>
      <c r="K22" s="140">
        <f t="shared" ref="K22:K25" si="18">(E22*H22)/G22</f>
        <v>1.095</v>
      </c>
      <c r="L22" s="140">
        <f t="shared" ref="L22:L25" si="19">(F22*H22)/G22</f>
        <v>1.46</v>
      </c>
    </row>
    <row r="23">
      <c r="A23" s="138" t="s">
        <v>349</v>
      </c>
      <c r="B23" s="139" t="s">
        <v>345</v>
      </c>
      <c r="C23" s="139">
        <v>100.0</v>
      </c>
      <c r="D23" s="139">
        <v>120.0</v>
      </c>
      <c r="E23" s="139">
        <v>200.0</v>
      </c>
      <c r="F23" s="139">
        <v>250.0</v>
      </c>
      <c r="G23" s="139">
        <v>250.0</v>
      </c>
      <c r="H23" s="139">
        <v>1.1</v>
      </c>
      <c r="I23" s="140">
        <f t="shared" si="16"/>
        <v>0.44</v>
      </c>
      <c r="J23" s="128">
        <f t="shared" si="17"/>
        <v>0.528</v>
      </c>
      <c r="K23" s="140">
        <f t="shared" si="18"/>
        <v>0.88</v>
      </c>
      <c r="L23" s="140">
        <f t="shared" si="19"/>
        <v>1.1</v>
      </c>
    </row>
    <row r="24">
      <c r="A24" s="138" t="s">
        <v>383</v>
      </c>
      <c r="B24" s="139" t="s">
        <v>201</v>
      </c>
      <c r="C24" s="139">
        <v>50.0</v>
      </c>
      <c r="D24" s="139">
        <v>60.0</v>
      </c>
      <c r="E24" s="139">
        <v>70.0</v>
      </c>
      <c r="F24" s="139">
        <v>90.0</v>
      </c>
      <c r="G24" s="139">
        <v>1000.0</v>
      </c>
      <c r="H24" s="139">
        <v>4.5</v>
      </c>
      <c r="I24" s="140">
        <f t="shared" si="16"/>
        <v>0.225</v>
      </c>
      <c r="J24" s="128">
        <f t="shared" si="17"/>
        <v>0.27</v>
      </c>
      <c r="K24" s="140">
        <f t="shared" si="18"/>
        <v>0.315</v>
      </c>
      <c r="L24" s="140">
        <f t="shared" si="19"/>
        <v>0.405</v>
      </c>
    </row>
    <row r="25">
      <c r="A25" s="141"/>
      <c r="B25" s="139" t="s">
        <v>207</v>
      </c>
      <c r="C25" s="139">
        <v>5.0</v>
      </c>
      <c r="D25" s="139">
        <v>5.0</v>
      </c>
      <c r="E25" s="139">
        <v>7.0</v>
      </c>
      <c r="F25" s="139">
        <v>9.0</v>
      </c>
      <c r="G25" s="139">
        <v>236.0</v>
      </c>
      <c r="H25" s="139">
        <v>6.9</v>
      </c>
      <c r="I25" s="140">
        <f t="shared" si="16"/>
        <v>0.1461864407</v>
      </c>
      <c r="J25" s="128">
        <f t="shared" si="17"/>
        <v>0.1461864407</v>
      </c>
      <c r="K25" s="140">
        <f t="shared" si="18"/>
        <v>0.2046610169</v>
      </c>
      <c r="L25" s="140">
        <f t="shared" si="19"/>
        <v>0.2631355932</v>
      </c>
    </row>
    <row r="26">
      <c r="A26" s="125"/>
      <c r="B26" s="125"/>
      <c r="C26" s="125"/>
      <c r="D26" s="125"/>
      <c r="E26" s="125"/>
      <c r="F26" s="125"/>
      <c r="G26" s="125"/>
      <c r="H26" s="125"/>
      <c r="I26" s="142">
        <f t="shared" ref="I26:L26" si="20">SUM(I22:I25)</f>
        <v>1.906186441</v>
      </c>
      <c r="J26" s="131">
        <f t="shared" si="20"/>
        <v>2.221686441</v>
      </c>
      <c r="K26" s="142">
        <f t="shared" si="20"/>
        <v>2.494661017</v>
      </c>
      <c r="L26" s="142">
        <f t="shared" si="20"/>
        <v>3.228135593</v>
      </c>
    </row>
    <row r="28">
      <c r="A28" s="125"/>
      <c r="B28" s="143" t="s">
        <v>317</v>
      </c>
      <c r="C28" s="144">
        <v>1.0</v>
      </c>
      <c r="D28" s="144">
        <v>1.0</v>
      </c>
      <c r="E28" s="144">
        <v>1.0</v>
      </c>
      <c r="F28" s="144">
        <v>1.0</v>
      </c>
      <c r="G28" s="143">
        <v>20.0</v>
      </c>
      <c r="H28" s="143">
        <v>1.13</v>
      </c>
      <c r="I28" s="144">
        <f t="shared" ref="I28:I32" si="21">(C28*H28)/G28</f>
        <v>0.0565</v>
      </c>
      <c r="J28" s="128">
        <f t="shared" ref="J28:J32" si="22">D28*H28/G28</f>
        <v>0.0565</v>
      </c>
      <c r="K28" s="144">
        <f t="shared" ref="K28:K32" si="23">(C28*H28)/G28</f>
        <v>0.0565</v>
      </c>
      <c r="L28" s="144">
        <f t="shared" ref="L28:L32" si="24">(F28*H28)/G28</f>
        <v>0.0565</v>
      </c>
    </row>
    <row r="29">
      <c r="A29" s="125"/>
      <c r="B29" s="143" t="s">
        <v>318</v>
      </c>
      <c r="C29" s="144">
        <v>1.0</v>
      </c>
      <c r="D29" s="144">
        <v>1.0</v>
      </c>
      <c r="E29" s="144">
        <v>1.0</v>
      </c>
      <c r="F29" s="144">
        <v>1.0</v>
      </c>
      <c r="G29" s="143">
        <v>1000.0</v>
      </c>
      <c r="H29" s="143">
        <v>2.05</v>
      </c>
      <c r="I29" s="144">
        <f t="shared" si="21"/>
        <v>0.00205</v>
      </c>
      <c r="J29" s="128">
        <f t="shared" si="22"/>
        <v>0.00205</v>
      </c>
      <c r="K29" s="144">
        <f t="shared" si="23"/>
        <v>0.00205</v>
      </c>
      <c r="L29" s="144">
        <f t="shared" si="24"/>
        <v>0.00205</v>
      </c>
    </row>
    <row r="30">
      <c r="A30" s="125"/>
      <c r="B30" s="143" t="s">
        <v>204</v>
      </c>
      <c r="C30" s="143">
        <v>30.0</v>
      </c>
      <c r="D30" s="143">
        <v>30.0</v>
      </c>
      <c r="E30" s="143">
        <v>35.0</v>
      </c>
      <c r="F30" s="143">
        <v>40.0</v>
      </c>
      <c r="G30" s="143">
        <v>60.0</v>
      </c>
      <c r="H30" s="143">
        <v>1.0</v>
      </c>
      <c r="I30" s="144">
        <f t="shared" si="21"/>
        <v>0.5</v>
      </c>
      <c r="J30" s="128">
        <f t="shared" si="22"/>
        <v>0.5</v>
      </c>
      <c r="K30" s="144">
        <f t="shared" si="23"/>
        <v>0.5</v>
      </c>
      <c r="L30" s="144">
        <f t="shared" si="24"/>
        <v>0.6666666667</v>
      </c>
    </row>
    <row r="31">
      <c r="A31" s="145" t="s">
        <v>319</v>
      </c>
      <c r="B31" s="143" t="s">
        <v>206</v>
      </c>
      <c r="C31" s="143">
        <v>12.0</v>
      </c>
      <c r="D31" s="143">
        <v>12.0</v>
      </c>
      <c r="E31" s="143">
        <v>12.0</v>
      </c>
      <c r="F31" s="143">
        <v>12.0</v>
      </c>
      <c r="G31" s="143">
        <v>1000.0</v>
      </c>
      <c r="H31" s="143">
        <v>1.97</v>
      </c>
      <c r="I31" s="144">
        <f t="shared" si="21"/>
        <v>0.02364</v>
      </c>
      <c r="J31" s="128">
        <f t="shared" si="22"/>
        <v>0.02364</v>
      </c>
      <c r="K31" s="144">
        <f t="shared" si="23"/>
        <v>0.02364</v>
      </c>
      <c r="L31" s="144">
        <f t="shared" si="24"/>
        <v>0.02364</v>
      </c>
    </row>
    <row r="32">
      <c r="A32" s="145" t="s">
        <v>320</v>
      </c>
      <c r="B32" s="143" t="s">
        <v>208</v>
      </c>
      <c r="C32" s="143">
        <v>12.0</v>
      </c>
      <c r="D32" s="143">
        <v>12.0</v>
      </c>
      <c r="E32" s="143">
        <v>12.0</v>
      </c>
      <c r="F32" s="143">
        <v>12.0</v>
      </c>
      <c r="G32" s="143">
        <v>60.0</v>
      </c>
      <c r="H32" s="143">
        <v>1.0</v>
      </c>
      <c r="I32" s="144">
        <f t="shared" si="21"/>
        <v>0.2</v>
      </c>
      <c r="J32" s="128">
        <f t="shared" si="22"/>
        <v>0.2</v>
      </c>
      <c r="K32" s="144">
        <f t="shared" si="23"/>
        <v>0.2</v>
      </c>
      <c r="L32" s="144">
        <f t="shared" si="24"/>
        <v>0.2</v>
      </c>
    </row>
    <row r="33">
      <c r="A33" s="125"/>
      <c r="B33" s="144"/>
      <c r="C33" s="144"/>
      <c r="D33" s="144"/>
      <c r="E33" s="144"/>
      <c r="F33" s="144"/>
      <c r="G33" s="144"/>
      <c r="H33" s="144"/>
      <c r="I33" s="144"/>
      <c r="J33" s="128"/>
      <c r="K33" s="144"/>
      <c r="L33" s="144"/>
    </row>
    <row r="34">
      <c r="A34" s="125"/>
      <c r="B34" s="144"/>
      <c r="C34" s="144"/>
      <c r="D34" s="144"/>
      <c r="E34" s="144"/>
      <c r="F34" s="144"/>
      <c r="G34" s="144"/>
      <c r="H34" s="144"/>
      <c r="I34" s="144"/>
      <c r="J34" s="128"/>
      <c r="K34" s="144"/>
      <c r="L34" s="144"/>
    </row>
    <row r="35">
      <c r="A35" s="125"/>
      <c r="B35" s="144"/>
      <c r="C35" s="144"/>
      <c r="D35" s="144"/>
      <c r="E35" s="144"/>
      <c r="F35" s="144"/>
      <c r="G35" s="144"/>
      <c r="H35" s="144"/>
      <c r="I35" s="144"/>
      <c r="J35" s="128"/>
      <c r="K35" s="144"/>
      <c r="L35" s="144"/>
    </row>
    <row r="36">
      <c r="A36" s="125"/>
      <c r="B36" s="146"/>
      <c r="C36" s="146"/>
      <c r="D36" s="146"/>
      <c r="E36" s="146"/>
      <c r="F36" s="146"/>
      <c r="G36" s="146"/>
      <c r="H36" s="146"/>
      <c r="I36" s="147">
        <f t="shared" ref="I36:L36" si="25">SUM(I28:I35)</f>
        <v>0.78219</v>
      </c>
      <c r="J36" s="128">
        <f t="shared" si="25"/>
        <v>0.78219</v>
      </c>
      <c r="K36" s="147">
        <f t="shared" si="25"/>
        <v>0.78219</v>
      </c>
      <c r="L36" s="147">
        <f t="shared" si="25"/>
        <v>0.9488566667</v>
      </c>
    </row>
    <row r="37">
      <c r="A37" s="125"/>
      <c r="B37" s="125"/>
      <c r="C37" s="125"/>
      <c r="D37" s="125"/>
      <c r="E37" s="125"/>
      <c r="F37" s="125"/>
      <c r="G37" s="125"/>
      <c r="H37" s="125"/>
      <c r="I37" s="125"/>
      <c r="J37" s="128"/>
      <c r="K37" s="125"/>
      <c r="L37" s="125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8"/>
      <c r="K38" s="125"/>
      <c r="L38" s="125"/>
    </row>
    <row r="39">
      <c r="A39" s="125"/>
      <c r="B39" s="148" t="s">
        <v>322</v>
      </c>
      <c r="C39" s="148">
        <v>1.0</v>
      </c>
      <c r="D39" s="148">
        <v>1.0</v>
      </c>
      <c r="E39" s="148">
        <v>1.0</v>
      </c>
      <c r="F39" s="148">
        <v>1.0</v>
      </c>
      <c r="G39" s="148">
        <v>1.0</v>
      </c>
      <c r="H39" s="148">
        <v>1.8</v>
      </c>
      <c r="I39" s="149">
        <f t="shared" ref="I39:I46" si="26">(C39*H39)/G39</f>
        <v>1.8</v>
      </c>
      <c r="J39" s="128">
        <f t="shared" ref="J39:J46" si="27">D39*H39/G39</f>
        <v>1.8</v>
      </c>
      <c r="K39" s="149">
        <f t="shared" ref="K39:K46" si="28">(C39*H39)/G39</f>
        <v>1.8</v>
      </c>
      <c r="L39" s="149">
        <f t="shared" ref="L39:L46" si="29">(F39*H39)/G39</f>
        <v>1.8</v>
      </c>
    </row>
    <row r="40">
      <c r="A40" s="141"/>
      <c r="B40" s="148" t="s">
        <v>323</v>
      </c>
      <c r="C40" s="148">
        <v>1.0</v>
      </c>
      <c r="D40" s="148">
        <v>1.0</v>
      </c>
      <c r="E40" s="148">
        <v>1.0</v>
      </c>
      <c r="F40" s="148">
        <v>1.0</v>
      </c>
      <c r="G40" s="148">
        <v>6.0</v>
      </c>
      <c r="H40" s="148">
        <v>1.0</v>
      </c>
      <c r="I40" s="149">
        <f t="shared" si="26"/>
        <v>0.1666666667</v>
      </c>
      <c r="J40" s="128">
        <f t="shared" si="27"/>
        <v>0.1666666667</v>
      </c>
      <c r="K40" s="149">
        <f t="shared" si="28"/>
        <v>0.1666666667</v>
      </c>
      <c r="L40" s="149">
        <f t="shared" si="29"/>
        <v>0.1666666667</v>
      </c>
    </row>
    <row r="41">
      <c r="A41" s="125"/>
      <c r="B41" s="148" t="s">
        <v>324</v>
      </c>
      <c r="C41" s="148">
        <v>1.0</v>
      </c>
      <c r="D41" s="148">
        <v>1.0</v>
      </c>
      <c r="E41" s="148">
        <v>1.0</v>
      </c>
      <c r="F41" s="148">
        <v>1.0</v>
      </c>
      <c r="G41" s="148">
        <v>1.0</v>
      </c>
      <c r="H41" s="148">
        <v>0.9</v>
      </c>
      <c r="I41" s="149">
        <f t="shared" si="26"/>
        <v>0.9</v>
      </c>
      <c r="J41" s="128">
        <f t="shared" si="27"/>
        <v>0.9</v>
      </c>
      <c r="K41" s="149">
        <f t="shared" si="28"/>
        <v>0.9</v>
      </c>
      <c r="L41" s="149">
        <f t="shared" si="29"/>
        <v>0.9</v>
      </c>
    </row>
    <row r="42">
      <c r="A42" s="150" t="s">
        <v>325</v>
      </c>
      <c r="B42" s="148" t="s">
        <v>326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1.85</v>
      </c>
      <c r="I42" s="149">
        <f t="shared" si="26"/>
        <v>1.85</v>
      </c>
      <c r="J42" s="128">
        <f t="shared" si="27"/>
        <v>1.85</v>
      </c>
      <c r="K42" s="149">
        <f t="shared" si="28"/>
        <v>1.85</v>
      </c>
      <c r="L42" s="149">
        <f t="shared" si="29"/>
        <v>1.85</v>
      </c>
    </row>
    <row r="43">
      <c r="A43" s="125"/>
      <c r="B43" s="148" t="s">
        <v>327</v>
      </c>
      <c r="C43" s="148">
        <v>1.0</v>
      </c>
      <c r="D43" s="148">
        <v>1.0</v>
      </c>
      <c r="E43" s="148">
        <v>1.0</v>
      </c>
      <c r="F43" s="148">
        <v>1.0</v>
      </c>
      <c r="G43" s="148">
        <v>500.0</v>
      </c>
      <c r="H43" s="148">
        <v>0.85</v>
      </c>
      <c r="I43" s="149">
        <f t="shared" si="26"/>
        <v>0.0017</v>
      </c>
      <c r="J43" s="128">
        <f t="shared" si="27"/>
        <v>0.0017</v>
      </c>
      <c r="K43" s="149">
        <f t="shared" si="28"/>
        <v>0.0017</v>
      </c>
      <c r="L43" s="149">
        <f t="shared" si="29"/>
        <v>0.0017</v>
      </c>
    </row>
    <row r="44">
      <c r="A44" s="125"/>
      <c r="B44" s="148" t="s">
        <v>328</v>
      </c>
      <c r="C44" s="148">
        <v>2.0</v>
      </c>
      <c r="D44" s="148">
        <v>2.0</v>
      </c>
      <c r="E44" s="148">
        <v>2.0</v>
      </c>
      <c r="F44" s="148">
        <v>2.0</v>
      </c>
      <c r="G44" s="148">
        <v>2.0</v>
      </c>
      <c r="H44" s="148">
        <v>0.18</v>
      </c>
      <c r="I44" s="149">
        <f t="shared" si="26"/>
        <v>0.18</v>
      </c>
      <c r="J44" s="128">
        <f t="shared" si="27"/>
        <v>0.18</v>
      </c>
      <c r="K44" s="149">
        <f t="shared" si="28"/>
        <v>0.18</v>
      </c>
      <c r="L44" s="149">
        <f t="shared" si="29"/>
        <v>0.18</v>
      </c>
    </row>
    <row r="45">
      <c r="A45" s="125"/>
      <c r="B45" s="148" t="s">
        <v>329</v>
      </c>
      <c r="C45" s="148">
        <v>10.0</v>
      </c>
      <c r="D45" s="148">
        <v>10.0</v>
      </c>
      <c r="E45" s="148">
        <v>10.0</v>
      </c>
      <c r="F45" s="148">
        <v>10.0</v>
      </c>
      <c r="G45" s="148">
        <v>100.0</v>
      </c>
      <c r="H45" s="148">
        <v>6.0</v>
      </c>
      <c r="I45" s="149">
        <f t="shared" si="26"/>
        <v>0.6</v>
      </c>
      <c r="J45" s="128">
        <f t="shared" si="27"/>
        <v>0.6</v>
      </c>
      <c r="K45" s="149">
        <f t="shared" si="28"/>
        <v>0.6</v>
      </c>
      <c r="L45" s="149">
        <f t="shared" si="29"/>
        <v>0.6</v>
      </c>
    </row>
    <row r="46">
      <c r="A46" s="125"/>
      <c r="B46" s="148" t="s">
        <v>330</v>
      </c>
      <c r="C46" s="148">
        <v>3.0</v>
      </c>
      <c r="D46" s="148">
        <v>3.0</v>
      </c>
      <c r="E46" s="148">
        <v>3.0</v>
      </c>
      <c r="F46" s="148">
        <v>3.0</v>
      </c>
      <c r="G46" s="148">
        <v>10.0</v>
      </c>
      <c r="H46" s="148">
        <v>1.0</v>
      </c>
      <c r="I46" s="149">
        <f t="shared" si="26"/>
        <v>0.3</v>
      </c>
      <c r="J46" s="128">
        <f t="shared" si="27"/>
        <v>0.3</v>
      </c>
      <c r="K46" s="149">
        <f t="shared" si="28"/>
        <v>0.3</v>
      </c>
      <c r="L46" s="149">
        <f t="shared" si="29"/>
        <v>0.3</v>
      </c>
    </row>
    <row r="47">
      <c r="A47" s="125"/>
      <c r="B47" s="125"/>
      <c r="C47" s="125"/>
      <c r="D47" s="125"/>
      <c r="E47" s="125"/>
      <c r="F47" s="125"/>
      <c r="G47" s="125"/>
      <c r="H47" s="125"/>
      <c r="I47" s="151">
        <f t="shared" ref="I47:L47" si="30">SUM(I39:I46)</f>
        <v>5.798366667</v>
      </c>
      <c r="J47" s="131">
        <f t="shared" si="30"/>
        <v>5.798366667</v>
      </c>
      <c r="K47" s="151">
        <f t="shared" si="30"/>
        <v>5.798366667</v>
      </c>
      <c r="L47" s="151">
        <f t="shared" si="30"/>
        <v>5.798366667</v>
      </c>
    </row>
    <row r="50">
      <c r="H50" s="192"/>
      <c r="I50" s="193" t="s">
        <v>384</v>
      </c>
      <c r="J50" s="193" t="s">
        <v>385</v>
      </c>
      <c r="K50" s="193" t="s">
        <v>386</v>
      </c>
      <c r="L50" s="193" t="s">
        <v>387</v>
      </c>
    </row>
    <row r="51">
      <c r="H51" s="192"/>
      <c r="I51" s="194">
        <f t="shared" ref="I51:L51" si="31">SUM(I9+I14+I20+I26+I36+I47)</f>
        <v>12.67899452</v>
      </c>
      <c r="J51" s="194">
        <f t="shared" si="31"/>
        <v>13.87012446</v>
      </c>
      <c r="K51" s="194">
        <f t="shared" si="31"/>
        <v>15.98940469</v>
      </c>
      <c r="L51" s="194">
        <f t="shared" si="31"/>
        <v>18.38408944</v>
      </c>
    </row>
    <row r="52">
      <c r="H52" s="195" t="s">
        <v>238</v>
      </c>
      <c r="I52" s="195">
        <v>30.0</v>
      </c>
      <c r="J52" s="195">
        <v>35.0</v>
      </c>
      <c r="K52" s="195">
        <v>40.0</v>
      </c>
      <c r="L52" s="195">
        <v>50.0</v>
      </c>
    </row>
    <row r="53">
      <c r="H53" s="193" t="s">
        <v>239</v>
      </c>
      <c r="I53" s="194">
        <f t="shared" ref="I53:L53" si="32">SUM(I52-I51)</f>
        <v>17.32100548</v>
      </c>
      <c r="J53" s="194">
        <f t="shared" si="32"/>
        <v>21.12987554</v>
      </c>
      <c r="K53" s="194">
        <f t="shared" si="32"/>
        <v>24.01059531</v>
      </c>
      <c r="L53" s="194">
        <f t="shared" si="32"/>
        <v>31.61591056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0"/>
    <col customWidth="1" min="3" max="3" width="14.88"/>
    <col customWidth="1" min="6" max="6" width="14.75"/>
    <col customWidth="1" min="7" max="7" width="19.63"/>
    <col customWidth="1" min="9" max="9" width="19.0"/>
  </cols>
  <sheetData>
    <row r="1">
      <c r="A1" s="156"/>
      <c r="B1" s="124"/>
      <c r="C1" s="196" t="s">
        <v>388</v>
      </c>
      <c r="D1" s="124"/>
      <c r="E1" s="124"/>
      <c r="F1" s="124"/>
      <c r="G1" s="156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</row>
    <row r="2">
      <c r="A2" s="197" t="s">
        <v>193</v>
      </c>
      <c r="B2" s="198" t="s">
        <v>389</v>
      </c>
      <c r="C2" s="198" t="s">
        <v>390</v>
      </c>
      <c r="D2" s="197" t="s">
        <v>195</v>
      </c>
      <c r="E2" s="197" t="s">
        <v>8</v>
      </c>
      <c r="F2" s="198" t="s">
        <v>391</v>
      </c>
      <c r="G2" s="198" t="s">
        <v>392</v>
      </c>
      <c r="H2" s="79"/>
      <c r="I2" s="93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>
      <c r="A3" s="39" t="s">
        <v>365</v>
      </c>
      <c r="B3" s="39">
        <v>280.0</v>
      </c>
      <c r="C3" s="39">
        <v>140.0</v>
      </c>
      <c r="D3" s="39">
        <v>250.0</v>
      </c>
      <c r="E3" s="39">
        <v>2.5</v>
      </c>
      <c r="F3" s="38">
        <f t="shared" ref="F3:F13" si="1">B3*E3/D3</f>
        <v>2.8</v>
      </c>
      <c r="G3" s="38">
        <f t="shared" ref="G3:G13" si="2">(C3*E3/D3)</f>
        <v>1.4</v>
      </c>
      <c r="H3" s="79"/>
      <c r="I3" s="199" t="s">
        <v>393</v>
      </c>
      <c r="J3" s="200"/>
      <c r="K3" s="200"/>
      <c r="L3" s="200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>
      <c r="A4" s="39" t="s">
        <v>252</v>
      </c>
      <c r="B4" s="39">
        <v>115.0</v>
      </c>
      <c r="C4" s="39">
        <v>60.0</v>
      </c>
      <c r="D4" s="38">
        <v>1000.0</v>
      </c>
      <c r="E4" s="39">
        <v>1.49</v>
      </c>
      <c r="F4" s="38">
        <f t="shared" si="1"/>
        <v>0.17135</v>
      </c>
      <c r="G4" s="38">
        <f t="shared" si="2"/>
        <v>0.0894</v>
      </c>
      <c r="H4" s="79"/>
      <c r="I4" s="199" t="s">
        <v>394</v>
      </c>
      <c r="J4" s="199" t="s">
        <v>395</v>
      </c>
      <c r="K4" s="199" t="s">
        <v>396</v>
      </c>
      <c r="L4" s="199" t="s">
        <v>58</v>
      </c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>
      <c r="A5" s="39" t="s">
        <v>397</v>
      </c>
      <c r="B5" s="39">
        <v>285.0</v>
      </c>
      <c r="C5" s="39">
        <v>140.0</v>
      </c>
      <c r="D5" s="39">
        <v>1000.0</v>
      </c>
      <c r="E5" s="39">
        <v>1.85</v>
      </c>
      <c r="F5" s="38">
        <f t="shared" si="1"/>
        <v>0.52725</v>
      </c>
      <c r="G5" s="38">
        <f t="shared" si="2"/>
        <v>0.259</v>
      </c>
      <c r="H5" s="79"/>
      <c r="I5" s="199" t="s">
        <v>394</v>
      </c>
      <c r="J5" s="199">
        <v>15.0</v>
      </c>
      <c r="K5" s="199" t="s">
        <v>398</v>
      </c>
      <c r="L5" s="199" t="s">
        <v>399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</row>
    <row r="6">
      <c r="A6" s="39" t="s">
        <v>400</v>
      </c>
      <c r="B6" s="39">
        <v>200.0</v>
      </c>
      <c r="C6" s="39">
        <v>100.0</v>
      </c>
      <c r="D6" s="39">
        <v>100.0</v>
      </c>
      <c r="E6" s="39">
        <v>1.2</v>
      </c>
      <c r="F6" s="38">
        <f t="shared" si="1"/>
        <v>2.4</v>
      </c>
      <c r="G6" s="38">
        <f t="shared" si="2"/>
        <v>1.2</v>
      </c>
      <c r="H6" s="79"/>
      <c r="I6" s="199" t="s">
        <v>394</v>
      </c>
      <c r="J6" s="199">
        <v>50.0</v>
      </c>
      <c r="K6" s="199" t="s">
        <v>401</v>
      </c>
      <c r="L6" s="199" t="s">
        <v>402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</row>
    <row r="7">
      <c r="A7" s="39" t="s">
        <v>403</v>
      </c>
      <c r="B7" s="39">
        <v>250.0</v>
      </c>
      <c r="C7" s="39">
        <v>125.0</v>
      </c>
      <c r="D7" s="39">
        <v>1000.0</v>
      </c>
      <c r="E7" s="39">
        <v>6.0</v>
      </c>
      <c r="F7" s="38">
        <f t="shared" si="1"/>
        <v>1.5</v>
      </c>
      <c r="G7" s="38">
        <f t="shared" si="2"/>
        <v>0.75</v>
      </c>
      <c r="H7" s="79"/>
      <c r="I7" s="93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</row>
    <row r="8">
      <c r="A8" s="39" t="s">
        <v>404</v>
      </c>
      <c r="B8" s="39">
        <v>275.0</v>
      </c>
      <c r="C8" s="39">
        <v>165.0</v>
      </c>
      <c r="D8" s="39">
        <v>1000.0</v>
      </c>
      <c r="E8" s="39">
        <v>1.1</v>
      </c>
      <c r="F8" s="38">
        <f t="shared" si="1"/>
        <v>0.3025</v>
      </c>
      <c r="G8" s="38">
        <f t="shared" si="2"/>
        <v>0.1815</v>
      </c>
      <c r="H8" s="79"/>
      <c r="I8" s="201" t="s">
        <v>3</v>
      </c>
      <c r="J8" s="201" t="s">
        <v>405</v>
      </c>
      <c r="K8" s="201" t="s">
        <v>9</v>
      </c>
      <c r="L8" s="201" t="s">
        <v>238</v>
      </c>
      <c r="M8" s="201" t="s">
        <v>239</v>
      </c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</row>
    <row r="9">
      <c r="A9" s="39" t="s">
        <v>406</v>
      </c>
      <c r="B9" s="39">
        <v>230.0</v>
      </c>
      <c r="C9" s="39">
        <v>115.0</v>
      </c>
      <c r="D9" s="38">
        <v>1000.0</v>
      </c>
      <c r="E9" s="39">
        <v>1.5</v>
      </c>
      <c r="F9" s="38">
        <f t="shared" si="1"/>
        <v>0.345</v>
      </c>
      <c r="G9" s="38">
        <f t="shared" si="2"/>
        <v>0.1725</v>
      </c>
      <c r="H9" s="79"/>
      <c r="I9" s="183" t="s">
        <v>407</v>
      </c>
      <c r="J9" s="183">
        <v>35.0</v>
      </c>
      <c r="K9" s="184">
        <f>SUM(F14+F21+F30)</f>
        <v>16.67894</v>
      </c>
      <c r="L9" s="183">
        <v>22.0</v>
      </c>
      <c r="M9" s="184">
        <f t="shared" ref="M9:M12" si="3">SUM(L9-K9)</f>
        <v>5.32106</v>
      </c>
      <c r="N9" s="93" t="s">
        <v>408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</row>
    <row r="10">
      <c r="A10" s="39" t="s">
        <v>258</v>
      </c>
      <c r="B10" s="39">
        <v>5.0</v>
      </c>
      <c r="C10" s="39">
        <v>3.0</v>
      </c>
      <c r="D10" s="39">
        <v>1000.0</v>
      </c>
      <c r="E10" s="39">
        <v>0.7</v>
      </c>
      <c r="F10" s="38">
        <f t="shared" si="1"/>
        <v>0.0035</v>
      </c>
      <c r="G10" s="38">
        <f t="shared" si="2"/>
        <v>0.0021</v>
      </c>
      <c r="H10" s="79"/>
      <c r="I10" s="183" t="s">
        <v>407</v>
      </c>
      <c r="J10" s="183">
        <v>15.0</v>
      </c>
      <c r="K10" s="184">
        <f>SUM(G14+G21+G30)</f>
        <v>9.520473333</v>
      </c>
      <c r="L10" s="183">
        <v>15.0</v>
      </c>
      <c r="M10" s="184">
        <f t="shared" si="3"/>
        <v>5.479526667</v>
      </c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</row>
    <row r="11">
      <c r="A11" s="39" t="s">
        <v>409</v>
      </c>
      <c r="B11" s="39">
        <v>6.0</v>
      </c>
      <c r="C11" s="39">
        <v>3.0</v>
      </c>
      <c r="D11" s="39">
        <v>1000.0</v>
      </c>
      <c r="E11" s="39">
        <v>0.9</v>
      </c>
      <c r="F11" s="38">
        <f t="shared" si="1"/>
        <v>0.0054</v>
      </c>
      <c r="G11" s="38">
        <f t="shared" si="2"/>
        <v>0.0027</v>
      </c>
      <c r="H11" s="79"/>
      <c r="I11" s="183" t="s">
        <v>399</v>
      </c>
      <c r="J11" s="183">
        <v>15.0</v>
      </c>
      <c r="K11" s="184">
        <f>SUM(F14+F21+F30)</f>
        <v>16.67894</v>
      </c>
      <c r="L11" s="183">
        <v>20.0</v>
      </c>
      <c r="M11" s="184">
        <f t="shared" si="3"/>
        <v>3.32106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</row>
    <row r="12">
      <c r="A12" s="183" t="s">
        <v>316</v>
      </c>
      <c r="B12" s="183">
        <v>3.0</v>
      </c>
      <c r="C12" s="183">
        <v>2.0</v>
      </c>
      <c r="D12" s="183">
        <v>12.0</v>
      </c>
      <c r="E12" s="183">
        <v>2.5</v>
      </c>
      <c r="F12" s="38">
        <f t="shared" si="1"/>
        <v>0.625</v>
      </c>
      <c r="G12" s="38">
        <f t="shared" si="2"/>
        <v>0.4166666667</v>
      </c>
      <c r="H12" s="79"/>
      <c r="I12" s="183" t="s">
        <v>399</v>
      </c>
      <c r="J12" s="183">
        <v>6.0</v>
      </c>
      <c r="K12" s="184">
        <f>SUM(G14+G21+G30)</f>
        <v>9.520473333</v>
      </c>
      <c r="L12" s="183">
        <v>15.0</v>
      </c>
      <c r="M12" s="184">
        <f t="shared" si="3"/>
        <v>5.479526667</v>
      </c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</row>
    <row r="13">
      <c r="A13" s="183" t="s">
        <v>410</v>
      </c>
      <c r="B13" s="183">
        <v>2.0</v>
      </c>
      <c r="C13" s="183">
        <v>1.0</v>
      </c>
      <c r="D13" s="183">
        <v>12.0</v>
      </c>
      <c r="E13" s="183">
        <v>2.5</v>
      </c>
      <c r="F13" s="38">
        <f t="shared" si="1"/>
        <v>0.4166666667</v>
      </c>
      <c r="G13" s="38">
        <f t="shared" si="2"/>
        <v>0.2083333333</v>
      </c>
      <c r="H13" s="79"/>
      <c r="I13" s="93"/>
      <c r="J13" s="93"/>
      <c r="K13" s="79"/>
      <c r="L13" s="93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</row>
    <row r="14">
      <c r="A14" s="79"/>
      <c r="B14" s="79"/>
      <c r="C14" s="79"/>
      <c r="D14" s="79"/>
      <c r="E14" s="79"/>
      <c r="F14" s="202">
        <f t="shared" ref="F14:G14" si="4">SUM(F3:F13)</f>
        <v>9.096666667</v>
      </c>
      <c r="G14" s="202">
        <f t="shared" si="4"/>
        <v>4.6822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</row>
    <row r="15">
      <c r="A15" s="196" t="s">
        <v>261</v>
      </c>
      <c r="B15" s="57"/>
      <c r="C15" s="57"/>
      <c r="D15" s="57"/>
      <c r="E15" s="57"/>
      <c r="F15" s="57"/>
      <c r="G15" s="57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</row>
    <row r="16">
      <c r="A16" s="203" t="s">
        <v>193</v>
      </c>
      <c r="B16" s="204" t="s">
        <v>389</v>
      </c>
      <c r="C16" s="204" t="s">
        <v>390</v>
      </c>
      <c r="D16" s="203" t="s">
        <v>195</v>
      </c>
      <c r="E16" s="203" t="s">
        <v>8</v>
      </c>
      <c r="F16" s="204" t="s">
        <v>391</v>
      </c>
      <c r="G16" s="204" t="s">
        <v>392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</row>
    <row r="17">
      <c r="A17" s="40" t="s">
        <v>265</v>
      </c>
      <c r="B17" s="39">
        <v>1.0</v>
      </c>
      <c r="C17" s="39">
        <v>1.0</v>
      </c>
      <c r="D17" s="40">
        <v>20.0</v>
      </c>
      <c r="E17" s="40">
        <v>1.13</v>
      </c>
      <c r="F17" s="38">
        <f t="shared" ref="F17:F20" si="5">B17*E17/D17</f>
        <v>0.0565</v>
      </c>
      <c r="G17" s="38">
        <f t="shared" ref="G17:G20" si="6">SUM(C17*E17/D17)</f>
        <v>0.0565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</row>
    <row r="18">
      <c r="A18" s="40" t="s">
        <v>267</v>
      </c>
      <c r="B18" s="39">
        <v>30.0</v>
      </c>
      <c r="C18" s="39">
        <v>30.0</v>
      </c>
      <c r="D18" s="40">
        <v>60.0</v>
      </c>
      <c r="E18" s="40">
        <v>1.0</v>
      </c>
      <c r="F18" s="38">
        <f t="shared" si="5"/>
        <v>0.5</v>
      </c>
      <c r="G18" s="38">
        <f t="shared" si="6"/>
        <v>0.5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>
      <c r="A19" s="40" t="s">
        <v>314</v>
      </c>
      <c r="B19" s="39">
        <v>12.0</v>
      </c>
      <c r="C19" s="39">
        <v>12.0</v>
      </c>
      <c r="D19" s="40">
        <v>1000.0</v>
      </c>
      <c r="E19" s="40">
        <v>1.97</v>
      </c>
      <c r="F19" s="38">
        <f t="shared" si="5"/>
        <v>0.02364</v>
      </c>
      <c r="G19" s="38">
        <f t="shared" si="6"/>
        <v>0.02364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</row>
    <row r="20">
      <c r="A20" s="40" t="s">
        <v>264</v>
      </c>
      <c r="B20" s="39">
        <v>5.0</v>
      </c>
      <c r="C20" s="39">
        <v>5.0</v>
      </c>
      <c r="D20" s="40">
        <v>60.0</v>
      </c>
      <c r="E20" s="40">
        <v>1.0</v>
      </c>
      <c r="F20" s="38">
        <f t="shared" si="5"/>
        <v>0.08333333333</v>
      </c>
      <c r="G20" s="38">
        <f t="shared" si="6"/>
        <v>0.08333333333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</row>
    <row r="21">
      <c r="A21" s="205"/>
      <c r="B21" s="41"/>
      <c r="C21" s="41"/>
      <c r="D21" s="205"/>
      <c r="E21" s="205"/>
      <c r="F21" s="206">
        <f t="shared" ref="F21:G21" si="7">SUM(F17:F20)</f>
        <v>0.6634733333</v>
      </c>
      <c r="G21" s="206">
        <f t="shared" si="7"/>
        <v>0.6634733333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</row>
    <row r="22">
      <c r="A22" s="41"/>
      <c r="B22" s="41"/>
      <c r="C22" s="41"/>
      <c r="D22" s="41"/>
      <c r="E22" s="41"/>
      <c r="F22" s="42"/>
      <c r="G22" s="42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</row>
    <row r="23">
      <c r="A23" s="196" t="s">
        <v>411</v>
      </c>
      <c r="B23" s="57"/>
      <c r="C23" s="57"/>
      <c r="D23" s="57"/>
      <c r="E23" s="57"/>
      <c r="F23" s="57"/>
      <c r="G23" s="57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</row>
    <row r="24">
      <c r="A24" s="34" t="s">
        <v>193</v>
      </c>
      <c r="B24" s="35" t="s">
        <v>389</v>
      </c>
      <c r="C24" s="35" t="s">
        <v>390</v>
      </c>
      <c r="D24" s="34" t="s">
        <v>195</v>
      </c>
      <c r="E24" s="34" t="s">
        <v>8</v>
      </c>
      <c r="F24" s="35" t="s">
        <v>391</v>
      </c>
      <c r="G24" s="35" t="s">
        <v>412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</row>
    <row r="25">
      <c r="A25" s="40" t="s">
        <v>413</v>
      </c>
      <c r="B25" s="39">
        <v>0.0</v>
      </c>
      <c r="C25" s="39">
        <v>1.0</v>
      </c>
      <c r="D25" s="40">
        <v>1.0</v>
      </c>
      <c r="E25" s="40">
        <v>2.2</v>
      </c>
      <c r="F25" s="38">
        <f t="shared" ref="F25:F29" si="8">B25*E25/D25</f>
        <v>0</v>
      </c>
      <c r="G25" s="38">
        <f t="shared" ref="G25:G29" si="9">C25*E25/D25</f>
        <v>2.2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</row>
    <row r="26">
      <c r="A26" s="40" t="s">
        <v>414</v>
      </c>
      <c r="B26" s="39">
        <v>1.0</v>
      </c>
      <c r="C26" s="39">
        <v>0.0</v>
      </c>
      <c r="D26" s="40">
        <v>1.0</v>
      </c>
      <c r="E26" s="40">
        <v>2.2</v>
      </c>
      <c r="F26" s="38">
        <f t="shared" si="8"/>
        <v>2.2</v>
      </c>
      <c r="G26" s="38">
        <f t="shared" si="9"/>
        <v>0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</row>
    <row r="27">
      <c r="A27" s="40" t="s">
        <v>415</v>
      </c>
      <c r="B27" s="39">
        <v>35.0</v>
      </c>
      <c r="C27" s="39">
        <v>16.0</v>
      </c>
      <c r="D27" s="40">
        <v>100.0</v>
      </c>
      <c r="E27" s="40">
        <v>2.0</v>
      </c>
      <c r="F27" s="38">
        <f t="shared" si="8"/>
        <v>0.7</v>
      </c>
      <c r="G27" s="38">
        <f t="shared" si="9"/>
        <v>0.32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</row>
    <row r="28">
      <c r="A28" s="40" t="s">
        <v>416</v>
      </c>
      <c r="B28" s="39">
        <v>16.0</v>
      </c>
      <c r="C28" s="39">
        <v>6.0</v>
      </c>
      <c r="D28" s="40">
        <v>25.0</v>
      </c>
      <c r="E28" s="40">
        <v>1.97</v>
      </c>
      <c r="F28" s="38">
        <f t="shared" si="8"/>
        <v>1.2608</v>
      </c>
      <c r="G28" s="38">
        <f t="shared" si="9"/>
        <v>0.4728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</row>
    <row r="29">
      <c r="A29" s="40" t="s">
        <v>417</v>
      </c>
      <c r="B29" s="39">
        <v>35.0</v>
      </c>
      <c r="C29" s="39">
        <v>15.0</v>
      </c>
      <c r="D29" s="40">
        <v>25.0</v>
      </c>
      <c r="E29" s="40">
        <v>1.97</v>
      </c>
      <c r="F29" s="38">
        <f t="shared" si="8"/>
        <v>2.758</v>
      </c>
      <c r="G29" s="38">
        <f t="shared" si="9"/>
        <v>1.182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</row>
    <row r="30">
      <c r="A30" s="41"/>
      <c r="B30" s="41"/>
      <c r="C30" s="41"/>
      <c r="D30" s="41"/>
      <c r="E30" s="41"/>
      <c r="F30" s="207">
        <f t="shared" ref="F30:G30" si="10">SUM(F25:F29)</f>
        <v>6.9188</v>
      </c>
      <c r="G30" s="207">
        <f t="shared" si="10"/>
        <v>4.1748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14.5"/>
    <col customWidth="1" min="3" max="4" width="17.5"/>
    <col customWidth="1" min="8" max="8" width="14.0"/>
  </cols>
  <sheetData>
    <row r="1">
      <c r="A1" s="125"/>
      <c r="B1" s="125"/>
      <c r="C1" s="125"/>
      <c r="D1" s="125"/>
      <c r="E1" s="141" t="s">
        <v>418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</row>
    <row r="2">
      <c r="A2" s="141"/>
      <c r="B2" s="125"/>
      <c r="C2" s="125"/>
      <c r="D2" s="125"/>
      <c r="E2" s="141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</row>
    <row r="3">
      <c r="A3" s="125"/>
      <c r="B3" s="125"/>
      <c r="C3" s="125"/>
      <c r="D3" s="125"/>
      <c r="E3" s="141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</row>
    <row r="4">
      <c r="A4" s="125"/>
      <c r="B4" s="125"/>
      <c r="C4" s="208" t="s">
        <v>419</v>
      </c>
      <c r="D4" s="208">
        <v>18.5</v>
      </c>
      <c r="E4" s="208" t="s">
        <v>420</v>
      </c>
      <c r="F4" s="208" t="s">
        <v>421</v>
      </c>
      <c r="G4" s="125"/>
      <c r="H4" s="125"/>
      <c r="I4" s="208" t="s">
        <v>115</v>
      </c>
      <c r="J4" s="208">
        <v>18.5</v>
      </c>
      <c r="K4" s="208" t="s">
        <v>420</v>
      </c>
      <c r="L4" s="208">
        <v>24.0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</row>
    <row r="5">
      <c r="A5" s="113"/>
      <c r="B5" s="114" t="s">
        <v>193</v>
      </c>
      <c r="C5" s="113" t="s">
        <v>297</v>
      </c>
      <c r="D5" s="113" t="s">
        <v>298</v>
      </c>
      <c r="E5" s="113" t="s">
        <v>299</v>
      </c>
      <c r="F5" s="113" t="s">
        <v>300</v>
      </c>
      <c r="G5" s="113" t="s">
        <v>247</v>
      </c>
      <c r="H5" s="113" t="s">
        <v>248</v>
      </c>
      <c r="I5" s="113" t="s">
        <v>249</v>
      </c>
      <c r="J5" s="113" t="s">
        <v>250</v>
      </c>
      <c r="K5" s="113" t="s">
        <v>301</v>
      </c>
      <c r="L5" s="113" t="s">
        <v>302</v>
      </c>
      <c r="M5" s="114"/>
      <c r="N5" s="113" t="s">
        <v>422</v>
      </c>
      <c r="O5" s="113" t="s">
        <v>299</v>
      </c>
      <c r="P5" s="113" t="s">
        <v>423</v>
      </c>
      <c r="Q5" s="113" t="s">
        <v>247</v>
      </c>
      <c r="R5" s="113" t="s">
        <v>248</v>
      </c>
      <c r="S5" s="113" t="s">
        <v>424</v>
      </c>
      <c r="T5" s="113" t="s">
        <v>301</v>
      </c>
      <c r="U5" s="113" t="s">
        <v>425</v>
      </c>
      <c r="V5" s="114" t="s">
        <v>193</v>
      </c>
      <c r="W5" s="113" t="s">
        <v>422</v>
      </c>
      <c r="X5" s="113" t="s">
        <v>299</v>
      </c>
      <c r="Y5" s="113" t="s">
        <v>426</v>
      </c>
      <c r="Z5" s="113" t="s">
        <v>247</v>
      </c>
      <c r="AA5" s="113" t="s">
        <v>248</v>
      </c>
      <c r="AB5" s="113" t="s">
        <v>424</v>
      </c>
      <c r="AC5" s="113" t="s">
        <v>301</v>
      </c>
      <c r="AD5" s="113" t="s">
        <v>427</v>
      </c>
      <c r="AE5" s="114" t="s">
        <v>193</v>
      </c>
    </row>
    <row r="6">
      <c r="A6" s="33"/>
      <c r="B6" s="115"/>
      <c r="C6" s="115"/>
      <c r="D6" s="115"/>
      <c r="E6" s="115"/>
      <c r="F6" s="115"/>
      <c r="G6" s="115"/>
      <c r="H6" s="115"/>
      <c r="I6" s="115"/>
      <c r="J6" s="116"/>
      <c r="K6" s="116"/>
      <c r="L6" s="116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</row>
    <row r="7">
      <c r="A7" s="117" t="s">
        <v>303</v>
      </c>
      <c r="B7" s="86" t="s">
        <v>205</v>
      </c>
      <c r="C7" s="83">
        <v>150.0</v>
      </c>
      <c r="D7" s="83">
        <v>180.0</v>
      </c>
      <c r="E7" s="83">
        <v>240.0</v>
      </c>
      <c r="F7" s="83">
        <v>270.0</v>
      </c>
      <c r="G7" s="86">
        <v>1000.0</v>
      </c>
      <c r="H7" s="87">
        <v>1.07</v>
      </c>
      <c r="I7" s="84">
        <f t="shared" ref="I7:I10" si="1">(C7*H7)/G7</f>
        <v>0.1605</v>
      </c>
      <c r="J7" s="118">
        <f t="shared" ref="J7:J9" si="2">D8*H8/G8</f>
        <v>1.25</v>
      </c>
      <c r="K7" s="118">
        <f t="shared" ref="K7:K10" si="3">(E7*H7)/G7</f>
        <v>0.2568</v>
      </c>
      <c r="L7" s="118">
        <f t="shared" ref="L7:L10" si="4">(F7*H7)/G7</f>
        <v>0.2889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</row>
    <row r="8">
      <c r="A8" s="117" t="s">
        <v>255</v>
      </c>
      <c r="B8" s="86" t="s">
        <v>203</v>
      </c>
      <c r="C8" s="86">
        <v>5.0</v>
      </c>
      <c r="D8" s="83">
        <v>6.0</v>
      </c>
      <c r="E8" s="83">
        <v>8.0</v>
      </c>
      <c r="F8" s="83">
        <v>9.0</v>
      </c>
      <c r="G8" s="86">
        <v>12.0</v>
      </c>
      <c r="H8" s="87">
        <v>2.5</v>
      </c>
      <c r="I8" s="84">
        <f t="shared" si="1"/>
        <v>1.041666667</v>
      </c>
      <c r="J8" s="118">
        <f t="shared" si="2"/>
        <v>0.225</v>
      </c>
      <c r="K8" s="118">
        <f t="shared" si="3"/>
        <v>1.666666667</v>
      </c>
      <c r="L8" s="118">
        <f t="shared" si="4"/>
        <v>1.875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</row>
    <row r="9">
      <c r="A9" s="62"/>
      <c r="B9" s="86" t="s">
        <v>304</v>
      </c>
      <c r="C9" s="83">
        <v>150.0</v>
      </c>
      <c r="D9" s="83">
        <v>180.0</v>
      </c>
      <c r="E9" s="83">
        <v>240.0</v>
      </c>
      <c r="F9" s="83">
        <v>270.0</v>
      </c>
      <c r="G9" s="86">
        <v>1000.0</v>
      </c>
      <c r="H9" s="87">
        <v>1.25</v>
      </c>
      <c r="I9" s="84">
        <f t="shared" si="1"/>
        <v>0.1875</v>
      </c>
      <c r="J9" s="118">
        <f t="shared" si="2"/>
        <v>0.2923728814</v>
      </c>
      <c r="K9" s="118">
        <f t="shared" si="3"/>
        <v>0.3</v>
      </c>
      <c r="L9" s="118">
        <f t="shared" si="4"/>
        <v>0.3375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</row>
    <row r="10">
      <c r="A10" s="62"/>
      <c r="B10" s="86" t="s">
        <v>207</v>
      </c>
      <c r="C10" s="83">
        <v>5.0</v>
      </c>
      <c r="D10" s="83">
        <v>10.0</v>
      </c>
      <c r="E10" s="83">
        <v>10.0</v>
      </c>
      <c r="F10" s="83">
        <v>15.0</v>
      </c>
      <c r="G10" s="83">
        <v>236.0</v>
      </c>
      <c r="H10" s="87">
        <v>6.9</v>
      </c>
      <c r="I10" s="84">
        <f t="shared" si="1"/>
        <v>0.1461864407</v>
      </c>
      <c r="J10" s="118">
        <f>D10*H10/G10</f>
        <v>0.2923728814</v>
      </c>
      <c r="K10" s="118">
        <f t="shared" si="3"/>
        <v>0.2923728814</v>
      </c>
      <c r="L10" s="118">
        <f t="shared" si="4"/>
        <v>0.438559322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</row>
    <row r="11">
      <c r="A11" s="33"/>
      <c r="B11" s="115"/>
      <c r="C11" s="115"/>
      <c r="D11" s="115"/>
      <c r="E11" s="115"/>
      <c r="F11" s="115"/>
      <c r="G11" s="115"/>
      <c r="H11" s="119"/>
      <c r="I11" s="120">
        <f t="shared" ref="I11:L11" si="5">SUM(I7:I10)</f>
        <v>1.535853107</v>
      </c>
      <c r="J11" s="118">
        <f t="shared" si="5"/>
        <v>2.059745763</v>
      </c>
      <c r="K11" s="121">
        <f t="shared" si="5"/>
        <v>2.515839548</v>
      </c>
      <c r="L11" s="121">
        <f t="shared" si="5"/>
        <v>2.939959322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</row>
    <row r="12">
      <c r="A12" s="33"/>
      <c r="B12" s="115"/>
      <c r="C12" s="115"/>
      <c r="D12" s="115"/>
      <c r="E12" s="115"/>
      <c r="F12" s="115"/>
      <c r="G12" s="115"/>
      <c r="H12" s="119"/>
      <c r="I12" s="209"/>
      <c r="J12" s="128"/>
      <c r="K12" s="210"/>
      <c r="L12" s="210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</row>
    <row r="13">
      <c r="A13" s="62"/>
      <c r="B13" s="160" t="s">
        <v>205</v>
      </c>
      <c r="C13" s="161">
        <v>140.0</v>
      </c>
      <c r="D13" s="161">
        <v>170.0</v>
      </c>
      <c r="E13" s="161">
        <v>230.0</v>
      </c>
      <c r="F13" s="161">
        <v>260.0</v>
      </c>
      <c r="G13" s="160">
        <v>1000.0</v>
      </c>
      <c r="H13" s="162">
        <v>1.07</v>
      </c>
      <c r="I13" s="163">
        <f t="shared" ref="I13:I18" si="6">(C13*H13)/G13</f>
        <v>0.1498</v>
      </c>
      <c r="J13" s="118">
        <f t="shared" ref="J13:J17" si="7">D14*H14/G14</f>
        <v>1.25</v>
      </c>
      <c r="K13" s="164">
        <f t="shared" ref="K13:K18" si="8">(E13*H13)/G13</f>
        <v>0.2461</v>
      </c>
      <c r="L13" s="164">
        <f t="shared" ref="L13:L18" si="9">(F13*H13)/G13</f>
        <v>0.2782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</row>
    <row r="14">
      <c r="A14" s="165" t="s">
        <v>342</v>
      </c>
      <c r="B14" s="160" t="s">
        <v>203</v>
      </c>
      <c r="C14" s="160">
        <v>5.0</v>
      </c>
      <c r="D14" s="161">
        <v>6.0</v>
      </c>
      <c r="E14" s="161">
        <v>8.0</v>
      </c>
      <c r="F14" s="161">
        <v>9.0</v>
      </c>
      <c r="G14" s="160">
        <v>12.0</v>
      </c>
      <c r="H14" s="162">
        <v>2.5</v>
      </c>
      <c r="I14" s="163">
        <f t="shared" si="6"/>
        <v>1.041666667</v>
      </c>
      <c r="J14" s="118">
        <f t="shared" si="7"/>
        <v>0.225</v>
      </c>
      <c r="K14" s="164">
        <f t="shared" si="8"/>
        <v>1.666666667</v>
      </c>
      <c r="L14" s="164">
        <f t="shared" si="9"/>
        <v>1.875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</row>
    <row r="15">
      <c r="A15" s="165" t="s">
        <v>306</v>
      </c>
      <c r="B15" s="160" t="s">
        <v>304</v>
      </c>
      <c r="C15" s="160">
        <v>150.0</v>
      </c>
      <c r="D15" s="161">
        <v>180.0</v>
      </c>
      <c r="E15" s="161">
        <v>240.0</v>
      </c>
      <c r="F15" s="161">
        <v>270.0</v>
      </c>
      <c r="G15" s="160">
        <v>1000.0</v>
      </c>
      <c r="H15" s="162">
        <v>1.25</v>
      </c>
      <c r="I15" s="163">
        <f t="shared" si="6"/>
        <v>0.1875</v>
      </c>
      <c r="J15" s="118">
        <f t="shared" si="7"/>
        <v>0.2923728814</v>
      </c>
      <c r="K15" s="164">
        <f t="shared" si="8"/>
        <v>0.3</v>
      </c>
      <c r="L15" s="164">
        <f t="shared" si="9"/>
        <v>0.3375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</row>
    <row r="16">
      <c r="A16" s="62"/>
      <c r="B16" s="160" t="s">
        <v>207</v>
      </c>
      <c r="C16" s="161">
        <v>5.0</v>
      </c>
      <c r="D16" s="161">
        <v>10.0</v>
      </c>
      <c r="E16" s="161">
        <v>10.0</v>
      </c>
      <c r="F16" s="161">
        <v>10.0</v>
      </c>
      <c r="G16" s="161">
        <v>236.0</v>
      </c>
      <c r="H16" s="162">
        <v>6.9</v>
      </c>
      <c r="I16" s="163">
        <f t="shared" si="6"/>
        <v>0.1461864407</v>
      </c>
      <c r="J16" s="118">
        <f t="shared" si="7"/>
        <v>0.72</v>
      </c>
      <c r="K16" s="164">
        <f t="shared" si="8"/>
        <v>0.2923728814</v>
      </c>
      <c r="L16" s="164">
        <f t="shared" si="9"/>
        <v>0.2923728814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</row>
    <row r="17">
      <c r="A17" s="33"/>
      <c r="B17" s="166" t="s">
        <v>274</v>
      </c>
      <c r="C17" s="166">
        <v>30.0</v>
      </c>
      <c r="D17" s="166">
        <v>30.0</v>
      </c>
      <c r="E17" s="166">
        <v>40.0</v>
      </c>
      <c r="F17" s="166">
        <v>50.0</v>
      </c>
      <c r="G17" s="166">
        <v>250.0</v>
      </c>
      <c r="H17" s="167">
        <v>6.0</v>
      </c>
      <c r="I17" s="163">
        <f t="shared" si="6"/>
        <v>0.72</v>
      </c>
      <c r="J17" s="118">
        <f t="shared" si="7"/>
        <v>0.07475</v>
      </c>
      <c r="K17" s="164">
        <f t="shared" si="8"/>
        <v>0.96</v>
      </c>
      <c r="L17" s="164">
        <f t="shared" si="9"/>
        <v>1.2</v>
      </c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</row>
    <row r="18">
      <c r="A18" s="33"/>
      <c r="B18" s="166" t="s">
        <v>244</v>
      </c>
      <c r="C18" s="166">
        <v>20.0</v>
      </c>
      <c r="D18" s="166">
        <v>10.0</v>
      </c>
      <c r="E18" s="166">
        <v>10.0</v>
      </c>
      <c r="F18" s="166">
        <v>10.0</v>
      </c>
      <c r="G18" s="166">
        <v>400.0</v>
      </c>
      <c r="H18" s="167">
        <v>2.99</v>
      </c>
      <c r="I18" s="163">
        <f t="shared" si="6"/>
        <v>0.1495</v>
      </c>
      <c r="J18" s="118">
        <f>D18*H18/G18</f>
        <v>0.07475</v>
      </c>
      <c r="K18" s="164">
        <f t="shared" si="8"/>
        <v>0.07475</v>
      </c>
      <c r="L18" s="164">
        <f t="shared" si="9"/>
        <v>0.07475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</row>
    <row r="19">
      <c r="A19" s="33"/>
      <c r="B19" s="77"/>
      <c r="C19" s="77"/>
      <c r="D19" s="77"/>
      <c r="E19" s="77"/>
      <c r="F19" s="77"/>
      <c r="G19" s="77"/>
      <c r="H19" s="168"/>
      <c r="I19" s="169">
        <f t="shared" ref="I19:L19" si="10">SUM(I13:I18)</f>
        <v>2.394653107</v>
      </c>
      <c r="J19" s="121">
        <f t="shared" si="10"/>
        <v>2.636872881</v>
      </c>
      <c r="K19" s="170">
        <f t="shared" si="10"/>
        <v>3.539889548</v>
      </c>
      <c r="L19" s="170">
        <f t="shared" si="10"/>
        <v>4.057822881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</row>
    <row r="20">
      <c r="A20" s="125"/>
      <c r="B20" s="125"/>
      <c r="C20" s="125"/>
      <c r="D20" s="125"/>
      <c r="E20" s="125"/>
      <c r="F20" s="125"/>
      <c r="G20" s="125"/>
      <c r="H20" s="125"/>
      <c r="I20" s="125"/>
      <c r="J20" s="128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</row>
    <row r="21">
      <c r="A21" s="125"/>
      <c r="B21" s="126" t="s">
        <v>304</v>
      </c>
      <c r="C21" s="126">
        <v>100.0</v>
      </c>
      <c r="D21" s="126">
        <v>120.0</v>
      </c>
      <c r="E21" s="126">
        <v>150.0</v>
      </c>
      <c r="F21" s="126">
        <v>200.0</v>
      </c>
      <c r="G21" s="126">
        <v>1000.0</v>
      </c>
      <c r="H21" s="126">
        <v>1.25</v>
      </c>
      <c r="I21" s="127">
        <f t="shared" ref="I21:I23" si="11">(C21*H21)/G21</f>
        <v>0.125</v>
      </c>
      <c r="J21" s="128">
        <f t="shared" ref="J21:J23" si="12">D21*H21/G21</f>
        <v>0.15</v>
      </c>
      <c r="K21" s="127">
        <f t="shared" ref="K21:K23" si="13">(E21*H21)/G21</f>
        <v>0.1875</v>
      </c>
      <c r="L21" s="127">
        <f t="shared" ref="L21:L23" si="14">(F21*H21)/G21</f>
        <v>0.25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</row>
    <row r="22">
      <c r="A22" s="129" t="s">
        <v>305</v>
      </c>
      <c r="B22" s="126" t="s">
        <v>206</v>
      </c>
      <c r="C22" s="126">
        <v>100.0</v>
      </c>
      <c r="D22" s="126">
        <v>120.0</v>
      </c>
      <c r="E22" s="126">
        <v>150.0</v>
      </c>
      <c r="F22" s="126">
        <v>200.0</v>
      </c>
      <c r="G22" s="126">
        <v>1000.0</v>
      </c>
      <c r="H22" s="126">
        <v>0.25</v>
      </c>
      <c r="I22" s="127">
        <f t="shared" si="11"/>
        <v>0.025</v>
      </c>
      <c r="J22" s="128">
        <f t="shared" si="12"/>
        <v>0.03</v>
      </c>
      <c r="K22" s="127">
        <f t="shared" si="13"/>
        <v>0.0375</v>
      </c>
      <c r="L22" s="127">
        <f t="shared" si="14"/>
        <v>0.05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</row>
    <row r="23">
      <c r="A23" s="125"/>
      <c r="B23" s="126" t="s">
        <v>207</v>
      </c>
      <c r="C23" s="126">
        <v>3.0</v>
      </c>
      <c r="D23" s="126">
        <v>4.0</v>
      </c>
      <c r="E23" s="126">
        <v>5.0</v>
      </c>
      <c r="F23" s="126">
        <v>9.0</v>
      </c>
      <c r="G23" s="126">
        <v>236.0</v>
      </c>
      <c r="H23" s="126">
        <v>6.9</v>
      </c>
      <c r="I23" s="127">
        <f t="shared" si="11"/>
        <v>0.08771186441</v>
      </c>
      <c r="J23" s="128">
        <f t="shared" si="12"/>
        <v>0.1169491525</v>
      </c>
      <c r="K23" s="127">
        <f t="shared" si="13"/>
        <v>0.1461864407</v>
      </c>
      <c r="L23" s="127">
        <f t="shared" si="14"/>
        <v>0.2631355932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</row>
    <row r="24">
      <c r="A24" s="125"/>
      <c r="B24" s="125"/>
      <c r="C24" s="125"/>
      <c r="D24" s="125"/>
      <c r="E24" s="125"/>
      <c r="F24" s="125"/>
      <c r="G24" s="125"/>
      <c r="H24" s="125"/>
      <c r="I24" s="130">
        <f t="shared" ref="I24:L24" si="15">SUM(I21:I23)</f>
        <v>0.2377118644</v>
      </c>
      <c r="J24" s="131">
        <f t="shared" si="15"/>
        <v>0.2969491525</v>
      </c>
      <c r="K24" s="130">
        <f t="shared" si="15"/>
        <v>0.3711864407</v>
      </c>
      <c r="L24" s="130">
        <f t="shared" si="15"/>
        <v>0.5631355932</v>
      </c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8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</row>
    <row r="26">
      <c r="A26" s="211" t="s">
        <v>259</v>
      </c>
      <c r="B26" s="211" t="s">
        <v>308</v>
      </c>
      <c r="C26" s="211">
        <v>300.0</v>
      </c>
      <c r="D26" s="211">
        <v>350.0</v>
      </c>
      <c r="E26" s="211">
        <v>400.0</v>
      </c>
      <c r="F26" s="211">
        <v>500.0</v>
      </c>
      <c r="G26" s="211">
        <v>600.0</v>
      </c>
      <c r="H26" s="211">
        <v>2.36</v>
      </c>
      <c r="I26" s="212">
        <f t="shared" ref="I26:I29" si="16">(C26*H26)/G26</f>
        <v>1.18</v>
      </c>
      <c r="J26" s="128">
        <f t="shared" ref="J26:J29" si="17">D26*H26/G26</f>
        <v>1.376666667</v>
      </c>
      <c r="K26" s="212">
        <f t="shared" ref="K26:K29" si="18">(E26*H26)/G26</f>
        <v>1.573333333</v>
      </c>
      <c r="L26" s="212">
        <f t="shared" ref="L26:L29" si="19">(F26*H26)/G26</f>
        <v>1.966666667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</row>
    <row r="27">
      <c r="A27" s="211" t="s">
        <v>428</v>
      </c>
      <c r="B27" s="211" t="s">
        <v>345</v>
      </c>
      <c r="C27" s="211">
        <v>100.0</v>
      </c>
      <c r="D27" s="211">
        <v>120.0</v>
      </c>
      <c r="E27" s="211">
        <v>150.0</v>
      </c>
      <c r="F27" s="211">
        <v>200.0</v>
      </c>
      <c r="G27" s="211">
        <v>250.0</v>
      </c>
      <c r="H27" s="211">
        <v>1.1</v>
      </c>
      <c r="I27" s="212">
        <f t="shared" si="16"/>
        <v>0.44</v>
      </c>
      <c r="J27" s="128">
        <f t="shared" si="17"/>
        <v>0.528</v>
      </c>
      <c r="K27" s="212">
        <f t="shared" si="18"/>
        <v>0.66</v>
      </c>
      <c r="L27" s="212">
        <f t="shared" si="19"/>
        <v>0.88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</row>
    <row r="28">
      <c r="A28" s="211" t="s">
        <v>306</v>
      </c>
      <c r="B28" s="211" t="s">
        <v>274</v>
      </c>
      <c r="C28" s="211">
        <v>20.0</v>
      </c>
      <c r="D28" s="211">
        <v>25.0</v>
      </c>
      <c r="E28" s="211">
        <v>30.0</v>
      </c>
      <c r="F28" s="211">
        <v>40.0</v>
      </c>
      <c r="G28" s="211">
        <v>250.0</v>
      </c>
      <c r="H28" s="211">
        <v>6.0</v>
      </c>
      <c r="I28" s="212">
        <f t="shared" si="16"/>
        <v>0.48</v>
      </c>
      <c r="J28" s="128">
        <f t="shared" si="17"/>
        <v>0.6</v>
      </c>
      <c r="K28" s="212">
        <f t="shared" si="18"/>
        <v>0.72</v>
      </c>
      <c r="L28" s="212">
        <f t="shared" si="19"/>
        <v>0.96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</row>
    <row r="29">
      <c r="A29" s="125"/>
      <c r="B29" s="211" t="s">
        <v>348</v>
      </c>
      <c r="C29" s="211">
        <v>80.0</v>
      </c>
      <c r="D29" s="211">
        <v>90.0</v>
      </c>
      <c r="E29" s="211">
        <v>90.0</v>
      </c>
      <c r="F29" s="211">
        <v>100.0</v>
      </c>
      <c r="G29" s="211">
        <v>1000.0</v>
      </c>
      <c r="H29" s="211">
        <v>1.25</v>
      </c>
      <c r="I29" s="212">
        <f t="shared" si="16"/>
        <v>0.1</v>
      </c>
      <c r="J29" s="128">
        <f t="shared" si="17"/>
        <v>0.1125</v>
      </c>
      <c r="K29" s="212">
        <f t="shared" si="18"/>
        <v>0.1125</v>
      </c>
      <c r="L29" s="212">
        <f t="shared" si="19"/>
        <v>0.125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</row>
    <row r="30">
      <c r="A30" s="125"/>
      <c r="B30" s="125"/>
      <c r="C30" s="125"/>
      <c r="D30" s="125"/>
      <c r="E30" s="125"/>
      <c r="F30" s="125"/>
      <c r="G30" s="125"/>
      <c r="H30" s="125"/>
      <c r="I30" s="213">
        <f t="shared" ref="I30:L30" si="20">SUM(I26:I29)</f>
        <v>2.2</v>
      </c>
      <c r="J30" s="128">
        <f t="shared" si="20"/>
        <v>2.617166667</v>
      </c>
      <c r="K30" s="213">
        <f t="shared" si="20"/>
        <v>3.065833333</v>
      </c>
      <c r="L30" s="213">
        <f t="shared" si="20"/>
        <v>3.931666667</v>
      </c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</row>
    <row r="31">
      <c r="A31" s="125"/>
      <c r="B31" s="125"/>
      <c r="C31" s="125"/>
      <c r="D31" s="125"/>
      <c r="E31" s="125"/>
      <c r="F31" s="125"/>
      <c r="G31" s="125"/>
      <c r="H31" s="125"/>
      <c r="I31" s="125"/>
      <c r="J31" s="128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>
      <c r="A32" s="125"/>
      <c r="B32" s="171" t="s">
        <v>308</v>
      </c>
      <c r="C32" s="171">
        <v>300.0</v>
      </c>
      <c r="D32" s="171">
        <v>350.0</v>
      </c>
      <c r="E32" s="171">
        <v>400.0</v>
      </c>
      <c r="F32" s="171">
        <v>500.0</v>
      </c>
      <c r="G32" s="171">
        <v>600.0</v>
      </c>
      <c r="H32" s="171">
        <v>2.19</v>
      </c>
      <c r="I32" s="172">
        <f t="shared" ref="I32:I36" si="21">(C32*H32)/G32</f>
        <v>1.095</v>
      </c>
      <c r="J32" s="128">
        <f t="shared" ref="J32:J36" si="22">D32*H32/G32</f>
        <v>1.2775</v>
      </c>
      <c r="K32" s="172">
        <f t="shared" ref="K32:K36" si="23">(E32*H32)/G32</f>
        <v>1.46</v>
      </c>
      <c r="L32" s="172">
        <f t="shared" ref="L32:L36" si="24">(F32*H32)/G32</f>
        <v>1.825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</row>
    <row r="33">
      <c r="A33" s="150" t="s">
        <v>344</v>
      </c>
      <c r="B33" s="171" t="s">
        <v>345</v>
      </c>
      <c r="C33" s="171">
        <v>100.0</v>
      </c>
      <c r="D33" s="171">
        <v>120.0</v>
      </c>
      <c r="E33" s="171">
        <v>150.0</v>
      </c>
      <c r="F33" s="171">
        <v>200.0</v>
      </c>
      <c r="G33" s="171">
        <v>250.0</v>
      </c>
      <c r="H33" s="171">
        <v>1.1</v>
      </c>
      <c r="I33" s="172">
        <f t="shared" si="21"/>
        <v>0.44</v>
      </c>
      <c r="J33" s="128">
        <f t="shared" si="22"/>
        <v>0.528</v>
      </c>
      <c r="K33" s="172">
        <f t="shared" si="23"/>
        <v>0.66</v>
      </c>
      <c r="L33" s="172">
        <f t="shared" si="24"/>
        <v>0.88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</row>
    <row r="34">
      <c r="A34" s="150" t="s">
        <v>429</v>
      </c>
      <c r="B34" s="171" t="s">
        <v>430</v>
      </c>
      <c r="C34" s="171">
        <v>1.0</v>
      </c>
      <c r="D34" s="171">
        <v>1.0</v>
      </c>
      <c r="E34" s="171">
        <v>2.0</v>
      </c>
      <c r="F34" s="171">
        <v>3.0</v>
      </c>
      <c r="G34" s="171">
        <v>6.0</v>
      </c>
      <c r="H34" s="171">
        <v>1.05</v>
      </c>
      <c r="I34" s="172">
        <f t="shared" si="21"/>
        <v>0.175</v>
      </c>
      <c r="J34" s="128">
        <f t="shared" si="22"/>
        <v>0.175</v>
      </c>
      <c r="K34" s="172">
        <f t="shared" si="23"/>
        <v>0.35</v>
      </c>
      <c r="L34" s="172">
        <f t="shared" si="24"/>
        <v>0.525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</row>
    <row r="35">
      <c r="A35" s="150" t="s">
        <v>431</v>
      </c>
      <c r="B35" s="171" t="s">
        <v>348</v>
      </c>
      <c r="C35" s="171">
        <v>80.0</v>
      </c>
      <c r="D35" s="171">
        <v>85.0</v>
      </c>
      <c r="E35" s="171">
        <v>90.0</v>
      </c>
      <c r="F35" s="171">
        <v>100.0</v>
      </c>
      <c r="G35" s="171">
        <v>1000.0</v>
      </c>
      <c r="H35" s="171">
        <v>1.25</v>
      </c>
      <c r="I35" s="172">
        <f t="shared" si="21"/>
        <v>0.1</v>
      </c>
      <c r="J35" s="128">
        <f t="shared" si="22"/>
        <v>0.10625</v>
      </c>
      <c r="K35" s="172">
        <f t="shared" si="23"/>
        <v>0.1125</v>
      </c>
      <c r="L35" s="172">
        <f t="shared" si="24"/>
        <v>0.125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</row>
    <row r="36">
      <c r="A36" s="125"/>
      <c r="B36" s="171" t="s">
        <v>207</v>
      </c>
      <c r="C36" s="171">
        <v>5.0</v>
      </c>
      <c r="D36" s="171">
        <v>5.0</v>
      </c>
      <c r="E36" s="171">
        <v>7.0</v>
      </c>
      <c r="F36" s="171">
        <v>9.0</v>
      </c>
      <c r="G36" s="171">
        <v>236.0</v>
      </c>
      <c r="H36" s="171">
        <v>6.9</v>
      </c>
      <c r="I36" s="172">
        <f t="shared" si="21"/>
        <v>0.1461864407</v>
      </c>
      <c r="J36" s="128">
        <f t="shared" si="22"/>
        <v>0.1461864407</v>
      </c>
      <c r="K36" s="172">
        <f t="shared" si="23"/>
        <v>0.2046610169</v>
      </c>
      <c r="L36" s="172">
        <f t="shared" si="24"/>
        <v>0.2631355932</v>
      </c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</row>
    <row r="37">
      <c r="A37" s="125"/>
      <c r="B37" s="125"/>
      <c r="C37" s="125"/>
      <c r="D37" s="125"/>
      <c r="E37" s="125"/>
      <c r="F37" s="125"/>
      <c r="G37" s="125"/>
      <c r="H37" s="125"/>
      <c r="I37" s="173">
        <f t="shared" ref="I37:L37" si="25">SUM(I32:I36)</f>
        <v>1.956186441</v>
      </c>
      <c r="J37" s="131">
        <f t="shared" si="25"/>
        <v>2.232936441</v>
      </c>
      <c r="K37" s="173">
        <f t="shared" si="25"/>
        <v>2.787161017</v>
      </c>
      <c r="L37" s="173">
        <f t="shared" si="25"/>
        <v>3.618135593</v>
      </c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8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</row>
    <row r="39">
      <c r="A39" s="214" t="s">
        <v>259</v>
      </c>
      <c r="B39" s="215" t="s">
        <v>308</v>
      </c>
      <c r="C39" s="215">
        <v>300.0</v>
      </c>
      <c r="D39" s="215">
        <v>300.0</v>
      </c>
      <c r="E39" s="215">
        <v>400.0</v>
      </c>
      <c r="F39" s="215">
        <v>500.0</v>
      </c>
      <c r="G39" s="215">
        <v>600.0</v>
      </c>
      <c r="H39" s="215">
        <v>2.19</v>
      </c>
      <c r="I39" s="128">
        <f t="shared" ref="I39:I47" si="26">(C39*H39)/G39</f>
        <v>1.095</v>
      </c>
      <c r="J39" s="128">
        <f t="shared" ref="J39:J47" si="27">D39*H39/G39</f>
        <v>1.095</v>
      </c>
      <c r="K39" s="128">
        <f t="shared" ref="K39:K47" si="28">(E39*H39)/G39</f>
        <v>1.46</v>
      </c>
      <c r="L39" s="128">
        <f t="shared" ref="L39:L47" si="29">(F39*H39)/G39</f>
        <v>1.825</v>
      </c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</row>
    <row r="40">
      <c r="A40" s="214" t="s">
        <v>432</v>
      </c>
      <c r="B40" s="215" t="s">
        <v>345</v>
      </c>
      <c r="C40" s="215">
        <v>100.0</v>
      </c>
      <c r="D40" s="215">
        <v>100.0</v>
      </c>
      <c r="E40" s="215">
        <v>100.0</v>
      </c>
      <c r="F40" s="215">
        <v>200.0</v>
      </c>
      <c r="G40" s="215">
        <v>250.0</v>
      </c>
      <c r="H40" s="215">
        <v>1.1</v>
      </c>
      <c r="I40" s="128">
        <f t="shared" si="26"/>
        <v>0.44</v>
      </c>
      <c r="J40" s="128">
        <f t="shared" si="27"/>
        <v>0.44</v>
      </c>
      <c r="K40" s="128">
        <f t="shared" si="28"/>
        <v>0.44</v>
      </c>
      <c r="L40" s="128">
        <f t="shared" si="29"/>
        <v>0.88</v>
      </c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</row>
    <row r="41">
      <c r="A41" s="214" t="s">
        <v>433</v>
      </c>
      <c r="B41" s="215" t="s">
        <v>304</v>
      </c>
      <c r="C41" s="215">
        <v>80.0</v>
      </c>
      <c r="D41" s="215">
        <v>80.0</v>
      </c>
      <c r="E41" s="215">
        <v>90.0</v>
      </c>
      <c r="F41" s="215">
        <v>100.0</v>
      </c>
      <c r="G41" s="215">
        <v>1000.0</v>
      </c>
      <c r="H41" s="215">
        <v>1.25</v>
      </c>
      <c r="I41" s="128">
        <f t="shared" si="26"/>
        <v>0.1</v>
      </c>
      <c r="J41" s="128">
        <f t="shared" si="27"/>
        <v>0.1</v>
      </c>
      <c r="K41" s="128">
        <f t="shared" si="28"/>
        <v>0.1125</v>
      </c>
      <c r="L41" s="128">
        <f t="shared" si="29"/>
        <v>0.125</v>
      </c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</row>
    <row r="42">
      <c r="A42" s="125"/>
      <c r="B42" s="215" t="s">
        <v>434</v>
      </c>
      <c r="C42" s="215">
        <v>1.0</v>
      </c>
      <c r="D42" s="215">
        <v>1.0</v>
      </c>
      <c r="E42" s="215">
        <v>1.0</v>
      </c>
      <c r="F42" s="215">
        <v>2.0</v>
      </c>
      <c r="G42" s="215">
        <v>6.0</v>
      </c>
      <c r="H42" s="215">
        <v>2.03</v>
      </c>
      <c r="I42" s="128">
        <f t="shared" si="26"/>
        <v>0.3383333333</v>
      </c>
      <c r="J42" s="128">
        <f t="shared" si="27"/>
        <v>0.3383333333</v>
      </c>
      <c r="K42" s="128">
        <f t="shared" si="28"/>
        <v>0.3383333333</v>
      </c>
      <c r="L42" s="128">
        <f t="shared" si="29"/>
        <v>0.6766666667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</row>
    <row r="43">
      <c r="A43" s="125"/>
      <c r="B43" s="215" t="s">
        <v>435</v>
      </c>
      <c r="C43" s="215">
        <v>1.0</v>
      </c>
      <c r="D43" s="215">
        <v>1.0</v>
      </c>
      <c r="E43" s="215">
        <v>1.0</v>
      </c>
      <c r="F43" s="215">
        <v>2.0</v>
      </c>
      <c r="G43" s="215">
        <v>6.0</v>
      </c>
      <c r="H43" s="215">
        <v>2.03</v>
      </c>
      <c r="I43" s="128">
        <f t="shared" si="26"/>
        <v>0.3383333333</v>
      </c>
      <c r="J43" s="128">
        <f t="shared" si="27"/>
        <v>0.3383333333</v>
      </c>
      <c r="K43" s="128">
        <f t="shared" si="28"/>
        <v>0.3383333333</v>
      </c>
      <c r="L43" s="128">
        <f t="shared" si="29"/>
        <v>0.6766666667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</row>
    <row r="44">
      <c r="A44" s="125"/>
      <c r="B44" s="171" t="s">
        <v>207</v>
      </c>
      <c r="C44" s="171">
        <v>5.0</v>
      </c>
      <c r="D44" s="171">
        <v>5.0</v>
      </c>
      <c r="E44" s="171">
        <v>7.0</v>
      </c>
      <c r="F44" s="171">
        <v>9.0</v>
      </c>
      <c r="G44" s="171">
        <v>236.0</v>
      </c>
      <c r="H44" s="171">
        <v>6.9</v>
      </c>
      <c r="I44" s="172">
        <f t="shared" si="26"/>
        <v>0.1461864407</v>
      </c>
      <c r="J44" s="128">
        <f t="shared" si="27"/>
        <v>0.1461864407</v>
      </c>
      <c r="K44" s="172">
        <f t="shared" si="28"/>
        <v>0.2046610169</v>
      </c>
      <c r="L44" s="172">
        <f t="shared" si="29"/>
        <v>0.2631355932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</row>
    <row r="45">
      <c r="A45" s="125"/>
      <c r="B45" s="215" t="s">
        <v>203</v>
      </c>
      <c r="C45" s="215">
        <v>4.0</v>
      </c>
      <c r="D45" s="215">
        <v>4.0</v>
      </c>
      <c r="E45" s="215">
        <v>6.0</v>
      </c>
      <c r="F45" s="215">
        <v>8.0</v>
      </c>
      <c r="G45" s="215">
        <v>12.0</v>
      </c>
      <c r="H45" s="215">
        <v>2.31</v>
      </c>
      <c r="I45" s="128">
        <f t="shared" si="26"/>
        <v>0.77</v>
      </c>
      <c r="J45" s="128">
        <f t="shared" si="27"/>
        <v>0.77</v>
      </c>
      <c r="K45" s="128">
        <f t="shared" si="28"/>
        <v>1.155</v>
      </c>
      <c r="L45" s="128">
        <f t="shared" si="29"/>
        <v>1.54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</row>
    <row r="46">
      <c r="A46" s="125"/>
      <c r="B46" s="215" t="s">
        <v>304</v>
      </c>
      <c r="C46" s="215">
        <v>215.0</v>
      </c>
      <c r="D46" s="215">
        <v>215.0</v>
      </c>
      <c r="E46" s="215">
        <v>110.0</v>
      </c>
      <c r="F46" s="215">
        <v>430.0</v>
      </c>
      <c r="G46" s="215">
        <v>1000.0</v>
      </c>
      <c r="H46" s="215">
        <v>1.25</v>
      </c>
      <c r="I46" s="128">
        <f t="shared" si="26"/>
        <v>0.26875</v>
      </c>
      <c r="J46" s="128">
        <f t="shared" si="27"/>
        <v>0.26875</v>
      </c>
      <c r="K46" s="128">
        <f t="shared" si="28"/>
        <v>0.1375</v>
      </c>
      <c r="L46" s="128">
        <f t="shared" si="29"/>
        <v>0.5375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</row>
    <row r="47">
      <c r="A47" s="125"/>
      <c r="B47" s="215" t="s">
        <v>436</v>
      </c>
      <c r="C47" s="215">
        <v>100.0</v>
      </c>
      <c r="D47" s="215">
        <v>100.0</v>
      </c>
      <c r="E47" s="215">
        <v>150.0</v>
      </c>
      <c r="F47" s="215">
        <v>200.0</v>
      </c>
      <c r="G47" s="215">
        <v>250.0</v>
      </c>
      <c r="H47" s="215">
        <v>2.15</v>
      </c>
      <c r="I47" s="128">
        <f t="shared" si="26"/>
        <v>0.86</v>
      </c>
      <c r="J47" s="128">
        <f t="shared" si="27"/>
        <v>0.86</v>
      </c>
      <c r="K47" s="128">
        <f t="shared" si="28"/>
        <v>1.29</v>
      </c>
      <c r="L47" s="128">
        <f t="shared" si="29"/>
        <v>1.72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</row>
    <row r="48">
      <c r="A48" s="125"/>
      <c r="B48" s="125"/>
      <c r="C48" s="125"/>
      <c r="D48" s="125"/>
      <c r="E48" s="125"/>
      <c r="F48" s="125"/>
      <c r="G48" s="125"/>
      <c r="H48" s="125"/>
      <c r="I48" s="131">
        <f t="shared" ref="I48:L48" si="30">SUM(I39:I47)</f>
        <v>4.356603107</v>
      </c>
      <c r="J48" s="131">
        <f t="shared" si="30"/>
        <v>4.356603107</v>
      </c>
      <c r="K48" s="131">
        <f t="shared" si="30"/>
        <v>5.476327684</v>
      </c>
      <c r="L48" s="131">
        <f t="shared" si="30"/>
        <v>8.243968927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</row>
    <row r="49">
      <c r="A49" s="125"/>
      <c r="B49" s="125"/>
      <c r="C49" s="125"/>
      <c r="D49" s="125"/>
      <c r="E49" s="125"/>
      <c r="F49" s="125"/>
      <c r="G49" s="125"/>
      <c r="H49" s="125"/>
      <c r="I49" s="125"/>
      <c r="J49" s="128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</row>
    <row r="50">
      <c r="A50" s="216" t="s">
        <v>259</v>
      </c>
      <c r="B50" s="217" t="s">
        <v>308</v>
      </c>
      <c r="C50" s="139">
        <v>300.0</v>
      </c>
      <c r="D50" s="139">
        <v>300.0</v>
      </c>
      <c r="E50" s="139">
        <v>400.0</v>
      </c>
      <c r="F50" s="139">
        <v>500.0</v>
      </c>
      <c r="G50" s="139">
        <v>600.0</v>
      </c>
      <c r="H50" s="139">
        <v>2.19</v>
      </c>
      <c r="I50" s="140">
        <f t="shared" ref="I50:I55" si="31">(C50*H50)/G50</f>
        <v>1.095</v>
      </c>
      <c r="J50" s="128">
        <f t="shared" ref="J50:J55" si="32">D50*H50/G50</f>
        <v>1.095</v>
      </c>
      <c r="K50" s="140">
        <f t="shared" ref="K50:K55" si="33">(E50*H50)/G50</f>
        <v>1.46</v>
      </c>
      <c r="L50" s="140">
        <f t="shared" ref="L50:L55" si="34">(F50*H50)/G50</f>
        <v>1.825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</row>
    <row r="51">
      <c r="A51" s="216" t="s">
        <v>437</v>
      </c>
      <c r="B51" s="217" t="s">
        <v>345</v>
      </c>
      <c r="C51" s="139">
        <v>100.0</v>
      </c>
      <c r="D51" s="139">
        <v>100.0</v>
      </c>
      <c r="E51" s="139">
        <v>100.0</v>
      </c>
      <c r="F51" s="139">
        <v>200.0</v>
      </c>
      <c r="G51" s="139">
        <v>250.0</v>
      </c>
      <c r="H51" s="139">
        <v>1.1</v>
      </c>
      <c r="I51" s="140">
        <f t="shared" si="31"/>
        <v>0.44</v>
      </c>
      <c r="J51" s="128">
        <f t="shared" si="32"/>
        <v>0.44</v>
      </c>
      <c r="K51" s="140">
        <f t="shared" si="33"/>
        <v>0.44</v>
      </c>
      <c r="L51" s="140">
        <f t="shared" si="34"/>
        <v>0.88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</row>
    <row r="52">
      <c r="A52" s="216" t="s">
        <v>438</v>
      </c>
      <c r="B52" s="217" t="s">
        <v>304</v>
      </c>
      <c r="C52" s="139">
        <v>80.0</v>
      </c>
      <c r="D52" s="139">
        <v>80.0</v>
      </c>
      <c r="E52" s="139">
        <v>90.0</v>
      </c>
      <c r="F52" s="139">
        <v>100.0</v>
      </c>
      <c r="G52" s="139">
        <v>1000.0</v>
      </c>
      <c r="H52" s="139">
        <v>1.25</v>
      </c>
      <c r="I52" s="140">
        <f t="shared" si="31"/>
        <v>0.1</v>
      </c>
      <c r="J52" s="128">
        <f t="shared" si="32"/>
        <v>0.1</v>
      </c>
      <c r="K52" s="140">
        <f t="shared" si="33"/>
        <v>0.1125</v>
      </c>
      <c r="L52" s="140">
        <f t="shared" si="34"/>
        <v>0.125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</row>
    <row r="53">
      <c r="A53" s="125"/>
      <c r="B53" s="171" t="s">
        <v>207</v>
      </c>
      <c r="C53" s="171">
        <v>5.0</v>
      </c>
      <c r="D53" s="171">
        <v>5.0</v>
      </c>
      <c r="E53" s="171">
        <v>7.0</v>
      </c>
      <c r="F53" s="171">
        <v>9.0</v>
      </c>
      <c r="G53" s="171">
        <v>236.0</v>
      </c>
      <c r="H53" s="171">
        <v>6.9</v>
      </c>
      <c r="I53" s="172">
        <f t="shared" si="31"/>
        <v>0.1461864407</v>
      </c>
      <c r="J53" s="128">
        <f t="shared" si="32"/>
        <v>0.1461864407</v>
      </c>
      <c r="K53" s="172">
        <f t="shared" si="33"/>
        <v>0.2046610169</v>
      </c>
      <c r="L53" s="172">
        <f t="shared" si="34"/>
        <v>0.2631355932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</row>
    <row r="54">
      <c r="A54" s="125"/>
      <c r="B54" s="139" t="s">
        <v>439</v>
      </c>
      <c r="C54" s="139">
        <v>300.0</v>
      </c>
      <c r="D54" s="139">
        <v>300.0</v>
      </c>
      <c r="E54" s="139">
        <v>300.0</v>
      </c>
      <c r="F54" s="139">
        <v>300.0</v>
      </c>
      <c r="G54" s="139">
        <v>300.0</v>
      </c>
      <c r="H54" s="139">
        <v>1.62</v>
      </c>
      <c r="I54" s="140">
        <f t="shared" si="31"/>
        <v>1.62</v>
      </c>
      <c r="J54" s="128">
        <f t="shared" si="32"/>
        <v>1.62</v>
      </c>
      <c r="K54" s="140">
        <f t="shared" si="33"/>
        <v>1.62</v>
      </c>
      <c r="L54" s="140">
        <f t="shared" si="34"/>
        <v>1.62</v>
      </c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</row>
    <row r="55">
      <c r="A55" s="125"/>
      <c r="B55" s="139" t="s">
        <v>304</v>
      </c>
      <c r="C55" s="139">
        <v>80.0</v>
      </c>
      <c r="D55" s="139">
        <v>80.0</v>
      </c>
      <c r="E55" s="139">
        <v>90.0</v>
      </c>
      <c r="F55" s="139">
        <v>100.0</v>
      </c>
      <c r="G55" s="139">
        <v>1000.0</v>
      </c>
      <c r="H55" s="139">
        <v>1.25</v>
      </c>
      <c r="I55" s="140">
        <f t="shared" si="31"/>
        <v>0.1</v>
      </c>
      <c r="J55" s="128">
        <f t="shared" si="32"/>
        <v>0.1</v>
      </c>
      <c r="K55" s="140">
        <f t="shared" si="33"/>
        <v>0.1125</v>
      </c>
      <c r="L55" s="140">
        <f t="shared" si="34"/>
        <v>0.125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</row>
    <row r="56">
      <c r="A56" s="125"/>
      <c r="B56" s="125"/>
      <c r="C56" s="125"/>
      <c r="D56" s="125"/>
      <c r="E56" s="125"/>
      <c r="F56" s="125"/>
      <c r="G56" s="125"/>
      <c r="H56" s="125"/>
      <c r="I56" s="142">
        <f t="shared" ref="I56:L56" si="35">SUM(I50:I55)</f>
        <v>3.501186441</v>
      </c>
      <c r="J56" s="131">
        <f t="shared" si="35"/>
        <v>3.501186441</v>
      </c>
      <c r="K56" s="142">
        <f t="shared" si="35"/>
        <v>3.949661017</v>
      </c>
      <c r="L56" s="142">
        <f t="shared" si="35"/>
        <v>4.838135593</v>
      </c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</row>
    <row r="57">
      <c r="A57" s="125"/>
      <c r="B57" s="125"/>
      <c r="C57" s="125"/>
      <c r="D57" s="125"/>
      <c r="E57" s="125"/>
      <c r="F57" s="125"/>
      <c r="G57" s="125"/>
      <c r="H57" s="125"/>
      <c r="I57" s="125"/>
      <c r="J57" s="128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</row>
    <row r="58">
      <c r="A58" s="134" t="s">
        <v>259</v>
      </c>
      <c r="B58" s="135" t="s">
        <v>235</v>
      </c>
      <c r="C58" s="135">
        <v>400.0</v>
      </c>
      <c r="D58" s="135">
        <v>450.0</v>
      </c>
      <c r="E58" s="135">
        <v>500.0</v>
      </c>
      <c r="F58" s="135">
        <v>600.0</v>
      </c>
      <c r="G58" s="135">
        <v>1000.0</v>
      </c>
      <c r="H58" s="135">
        <v>3.85</v>
      </c>
      <c r="I58" s="136">
        <f t="shared" ref="I58:I62" si="36">(C58*H58)/G58</f>
        <v>1.54</v>
      </c>
      <c r="J58" s="128">
        <f t="shared" ref="J58:J62" si="37">D58*H58/G58</f>
        <v>1.7325</v>
      </c>
      <c r="K58" s="136">
        <f t="shared" ref="K58:K62" si="38">(E58*H58)/G58</f>
        <v>1.925</v>
      </c>
      <c r="L58" s="136">
        <f t="shared" ref="L58:L62" si="39">(F58*H58)/G58</f>
        <v>2.31</v>
      </c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</row>
    <row r="59">
      <c r="A59" s="134" t="s">
        <v>380</v>
      </c>
      <c r="B59" s="135" t="s">
        <v>308</v>
      </c>
      <c r="C59" s="135">
        <v>300.0</v>
      </c>
      <c r="D59" s="135">
        <v>300.0</v>
      </c>
      <c r="E59" s="135">
        <v>400.0</v>
      </c>
      <c r="F59" s="135">
        <v>500.0</v>
      </c>
      <c r="G59" s="135">
        <v>600.0</v>
      </c>
      <c r="H59" s="135">
        <v>2.19</v>
      </c>
      <c r="I59" s="136">
        <f t="shared" si="36"/>
        <v>1.095</v>
      </c>
      <c r="J59" s="128">
        <f t="shared" si="37"/>
        <v>1.095</v>
      </c>
      <c r="K59" s="136">
        <f t="shared" si="38"/>
        <v>1.46</v>
      </c>
      <c r="L59" s="136">
        <f t="shared" si="39"/>
        <v>1.825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</row>
    <row r="60">
      <c r="A60" s="134" t="s">
        <v>381</v>
      </c>
      <c r="B60" s="135" t="s">
        <v>304</v>
      </c>
      <c r="C60" s="135">
        <v>80.0</v>
      </c>
      <c r="D60" s="135">
        <v>80.0</v>
      </c>
      <c r="E60" s="135">
        <v>90.0</v>
      </c>
      <c r="F60" s="135">
        <v>100.0</v>
      </c>
      <c r="G60" s="135">
        <v>1000.0</v>
      </c>
      <c r="H60" s="135">
        <v>1.25</v>
      </c>
      <c r="I60" s="136">
        <f t="shared" si="36"/>
        <v>0.1</v>
      </c>
      <c r="J60" s="128">
        <f t="shared" si="37"/>
        <v>0.1</v>
      </c>
      <c r="K60" s="136">
        <f t="shared" si="38"/>
        <v>0.1125</v>
      </c>
      <c r="L60" s="136">
        <f t="shared" si="39"/>
        <v>0.125</v>
      </c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</row>
    <row r="61">
      <c r="A61" s="125"/>
      <c r="B61" s="135" t="s">
        <v>207</v>
      </c>
      <c r="C61" s="135">
        <v>5.0</v>
      </c>
      <c r="D61" s="135">
        <v>5.0</v>
      </c>
      <c r="E61" s="135">
        <v>7.0</v>
      </c>
      <c r="F61" s="135">
        <v>9.0</v>
      </c>
      <c r="G61" s="135">
        <v>236.0</v>
      </c>
      <c r="H61" s="135">
        <v>6.9</v>
      </c>
      <c r="I61" s="136">
        <f t="shared" si="36"/>
        <v>0.1461864407</v>
      </c>
      <c r="J61" s="128">
        <f t="shared" si="37"/>
        <v>0.1461864407</v>
      </c>
      <c r="K61" s="136">
        <f t="shared" si="38"/>
        <v>0.2046610169</v>
      </c>
      <c r="L61" s="136">
        <f t="shared" si="39"/>
        <v>0.2631355932</v>
      </c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</row>
    <row r="62">
      <c r="A62" s="125"/>
      <c r="B62" s="135" t="s">
        <v>440</v>
      </c>
      <c r="C62" s="135">
        <v>100.0</v>
      </c>
      <c r="D62" s="135">
        <v>120.0</v>
      </c>
      <c r="E62" s="135">
        <v>150.0</v>
      </c>
      <c r="F62" s="135">
        <v>200.0</v>
      </c>
      <c r="G62" s="135">
        <v>1000.0</v>
      </c>
      <c r="H62" s="135">
        <v>4.69</v>
      </c>
      <c r="I62" s="136">
        <f t="shared" si="36"/>
        <v>0.469</v>
      </c>
      <c r="J62" s="128">
        <f t="shared" si="37"/>
        <v>0.5628</v>
      </c>
      <c r="K62" s="136">
        <f t="shared" si="38"/>
        <v>0.7035</v>
      </c>
      <c r="L62" s="136">
        <f t="shared" si="39"/>
        <v>0.938</v>
      </c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</row>
    <row r="63">
      <c r="A63" s="125"/>
      <c r="B63" s="125"/>
      <c r="C63" s="125"/>
      <c r="D63" s="125"/>
      <c r="E63" s="125"/>
      <c r="F63" s="125"/>
      <c r="G63" s="125"/>
      <c r="H63" s="125"/>
      <c r="I63" s="137">
        <f t="shared" ref="I63:L63" si="40">SUM(I58:I62)</f>
        <v>3.350186441</v>
      </c>
      <c r="J63" s="131">
        <f t="shared" si="40"/>
        <v>3.636486441</v>
      </c>
      <c r="K63" s="137">
        <f t="shared" si="40"/>
        <v>4.405661017</v>
      </c>
      <c r="L63" s="137">
        <f t="shared" si="40"/>
        <v>5.461135593</v>
      </c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8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8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</row>
    <row r="66">
      <c r="A66" s="138" t="s">
        <v>311</v>
      </c>
      <c r="B66" s="139" t="s">
        <v>308</v>
      </c>
      <c r="C66" s="139">
        <v>300.0</v>
      </c>
      <c r="D66" s="139">
        <v>350.0</v>
      </c>
      <c r="E66" s="139">
        <v>300.0</v>
      </c>
      <c r="F66" s="139">
        <v>400.0</v>
      </c>
      <c r="G66" s="139">
        <v>600.0</v>
      </c>
      <c r="H66" s="139">
        <v>2.19</v>
      </c>
      <c r="I66" s="140">
        <f t="shared" ref="I66:I69" si="41">(C66*H66)/G66</f>
        <v>1.095</v>
      </c>
      <c r="J66" s="128">
        <f t="shared" ref="J66:J69" si="42">D66*H66/G66</f>
        <v>1.2775</v>
      </c>
      <c r="K66" s="140">
        <f t="shared" ref="K66:K69" si="43">(E66*H66)/G66</f>
        <v>1.095</v>
      </c>
      <c r="L66" s="140">
        <f t="shared" ref="L66:L69" si="44">(F66*H66)/G66</f>
        <v>1.46</v>
      </c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</row>
    <row r="67">
      <c r="A67" s="138" t="s">
        <v>349</v>
      </c>
      <c r="B67" s="139" t="s">
        <v>345</v>
      </c>
      <c r="C67" s="139">
        <v>100.0</v>
      </c>
      <c r="D67" s="139">
        <v>120.0</v>
      </c>
      <c r="E67" s="139">
        <v>200.0</v>
      </c>
      <c r="F67" s="139">
        <v>250.0</v>
      </c>
      <c r="G67" s="139">
        <v>250.0</v>
      </c>
      <c r="H67" s="139">
        <v>1.1</v>
      </c>
      <c r="I67" s="140">
        <f t="shared" si="41"/>
        <v>0.44</v>
      </c>
      <c r="J67" s="128">
        <f t="shared" si="42"/>
        <v>0.528</v>
      </c>
      <c r="K67" s="140">
        <f t="shared" si="43"/>
        <v>0.88</v>
      </c>
      <c r="L67" s="140">
        <f t="shared" si="44"/>
        <v>1.1</v>
      </c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</row>
    <row r="68">
      <c r="A68" s="138" t="s">
        <v>383</v>
      </c>
      <c r="B68" s="139" t="s">
        <v>201</v>
      </c>
      <c r="C68" s="139">
        <v>50.0</v>
      </c>
      <c r="D68" s="139">
        <v>60.0</v>
      </c>
      <c r="E68" s="139">
        <v>70.0</v>
      </c>
      <c r="F68" s="139">
        <v>90.0</v>
      </c>
      <c r="G68" s="139">
        <v>1000.0</v>
      </c>
      <c r="H68" s="139">
        <v>4.5</v>
      </c>
      <c r="I68" s="140">
        <f t="shared" si="41"/>
        <v>0.225</v>
      </c>
      <c r="J68" s="128">
        <f t="shared" si="42"/>
        <v>0.27</v>
      </c>
      <c r="K68" s="140">
        <f t="shared" si="43"/>
        <v>0.315</v>
      </c>
      <c r="L68" s="140">
        <f t="shared" si="44"/>
        <v>0.405</v>
      </c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</row>
    <row r="69">
      <c r="A69" s="141"/>
      <c r="B69" s="139" t="s">
        <v>207</v>
      </c>
      <c r="C69" s="139">
        <v>5.0</v>
      </c>
      <c r="D69" s="139">
        <v>5.0</v>
      </c>
      <c r="E69" s="139">
        <v>7.0</v>
      </c>
      <c r="F69" s="139">
        <v>9.0</v>
      </c>
      <c r="G69" s="139">
        <v>236.0</v>
      </c>
      <c r="H69" s="139">
        <v>6.9</v>
      </c>
      <c r="I69" s="140">
        <f t="shared" si="41"/>
        <v>0.1461864407</v>
      </c>
      <c r="J69" s="128">
        <f t="shared" si="42"/>
        <v>0.1461864407</v>
      </c>
      <c r="K69" s="140">
        <f t="shared" si="43"/>
        <v>0.2046610169</v>
      </c>
      <c r="L69" s="140">
        <f t="shared" si="44"/>
        <v>0.2631355932</v>
      </c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</row>
    <row r="70">
      <c r="A70" s="125"/>
      <c r="B70" s="125"/>
      <c r="C70" s="125"/>
      <c r="D70" s="125"/>
      <c r="E70" s="125"/>
      <c r="F70" s="125"/>
      <c r="G70" s="125"/>
      <c r="H70" s="125"/>
      <c r="I70" s="142">
        <f t="shared" ref="I70:L70" si="45">SUM(I66:I69)</f>
        <v>1.906186441</v>
      </c>
      <c r="J70" s="131">
        <f t="shared" si="45"/>
        <v>2.221686441</v>
      </c>
      <c r="K70" s="142">
        <f t="shared" si="45"/>
        <v>2.494661017</v>
      </c>
      <c r="L70" s="142">
        <f t="shared" si="45"/>
        <v>3.228135593</v>
      </c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8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</row>
    <row r="72">
      <c r="A72" s="125"/>
      <c r="B72" s="143" t="s">
        <v>317</v>
      </c>
      <c r="C72" s="144">
        <v>1.0</v>
      </c>
      <c r="D72" s="144">
        <v>1.0</v>
      </c>
      <c r="E72" s="144">
        <v>1.0</v>
      </c>
      <c r="F72" s="144">
        <v>1.0</v>
      </c>
      <c r="G72" s="143">
        <v>20.0</v>
      </c>
      <c r="H72" s="143">
        <v>1.13</v>
      </c>
      <c r="I72" s="144">
        <f t="shared" ref="I72:I76" si="46">(C72*H72)/G72</f>
        <v>0.0565</v>
      </c>
      <c r="J72" s="128">
        <f t="shared" ref="J72:J76" si="47">D72*H72/G72</f>
        <v>0.0565</v>
      </c>
      <c r="K72" s="144">
        <f t="shared" ref="K72:K76" si="48">(C72*H72)/G72</f>
        <v>0.0565</v>
      </c>
      <c r="L72" s="144">
        <f t="shared" ref="L72:L76" si="49">(F72*H72)/G72</f>
        <v>0.0565</v>
      </c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</row>
    <row r="73">
      <c r="A73" s="125"/>
      <c r="B73" s="143" t="s">
        <v>318</v>
      </c>
      <c r="C73" s="144">
        <v>1.0</v>
      </c>
      <c r="D73" s="144">
        <v>1.0</v>
      </c>
      <c r="E73" s="144">
        <v>1.0</v>
      </c>
      <c r="F73" s="144">
        <v>1.0</v>
      </c>
      <c r="G73" s="143">
        <v>1000.0</v>
      </c>
      <c r="H73" s="143">
        <v>2.05</v>
      </c>
      <c r="I73" s="144">
        <f t="shared" si="46"/>
        <v>0.00205</v>
      </c>
      <c r="J73" s="128">
        <f t="shared" si="47"/>
        <v>0.00205</v>
      </c>
      <c r="K73" s="144">
        <f t="shared" si="48"/>
        <v>0.00205</v>
      </c>
      <c r="L73" s="144">
        <f t="shared" si="49"/>
        <v>0.00205</v>
      </c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</row>
    <row r="74">
      <c r="A74" s="125"/>
      <c r="B74" s="143" t="s">
        <v>204</v>
      </c>
      <c r="C74" s="143">
        <v>30.0</v>
      </c>
      <c r="D74" s="143">
        <v>30.0</v>
      </c>
      <c r="E74" s="143">
        <v>35.0</v>
      </c>
      <c r="F74" s="143">
        <v>40.0</v>
      </c>
      <c r="G74" s="143">
        <v>60.0</v>
      </c>
      <c r="H74" s="143">
        <v>1.0</v>
      </c>
      <c r="I74" s="144">
        <f t="shared" si="46"/>
        <v>0.5</v>
      </c>
      <c r="J74" s="128">
        <f t="shared" si="47"/>
        <v>0.5</v>
      </c>
      <c r="K74" s="144">
        <f t="shared" si="48"/>
        <v>0.5</v>
      </c>
      <c r="L74" s="144">
        <f t="shared" si="49"/>
        <v>0.6666666667</v>
      </c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</row>
    <row r="75">
      <c r="A75" s="145" t="s">
        <v>319</v>
      </c>
      <c r="B75" s="143" t="s">
        <v>206</v>
      </c>
      <c r="C75" s="143">
        <v>12.0</v>
      </c>
      <c r="D75" s="143">
        <v>12.0</v>
      </c>
      <c r="E75" s="143">
        <v>12.0</v>
      </c>
      <c r="F75" s="143">
        <v>12.0</v>
      </c>
      <c r="G75" s="143">
        <v>1000.0</v>
      </c>
      <c r="H75" s="143">
        <v>1.97</v>
      </c>
      <c r="I75" s="144">
        <f t="shared" si="46"/>
        <v>0.02364</v>
      </c>
      <c r="J75" s="128">
        <f t="shared" si="47"/>
        <v>0.02364</v>
      </c>
      <c r="K75" s="144">
        <f t="shared" si="48"/>
        <v>0.02364</v>
      </c>
      <c r="L75" s="144">
        <f t="shared" si="49"/>
        <v>0.02364</v>
      </c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</row>
    <row r="76">
      <c r="A76" s="145" t="s">
        <v>320</v>
      </c>
      <c r="B76" s="143" t="s">
        <v>208</v>
      </c>
      <c r="C76" s="143">
        <v>12.0</v>
      </c>
      <c r="D76" s="143">
        <v>12.0</v>
      </c>
      <c r="E76" s="143">
        <v>12.0</v>
      </c>
      <c r="F76" s="143">
        <v>12.0</v>
      </c>
      <c r="G76" s="143">
        <v>60.0</v>
      </c>
      <c r="H76" s="143">
        <v>1.0</v>
      </c>
      <c r="I76" s="144">
        <f t="shared" si="46"/>
        <v>0.2</v>
      </c>
      <c r="J76" s="128">
        <f t="shared" si="47"/>
        <v>0.2</v>
      </c>
      <c r="K76" s="144">
        <f t="shared" si="48"/>
        <v>0.2</v>
      </c>
      <c r="L76" s="144">
        <f t="shared" si="49"/>
        <v>0.2</v>
      </c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</row>
    <row r="77">
      <c r="A77" s="125"/>
      <c r="B77" s="144"/>
      <c r="C77" s="144"/>
      <c r="D77" s="144"/>
      <c r="E77" s="144"/>
      <c r="F77" s="144"/>
      <c r="G77" s="144"/>
      <c r="H77" s="144"/>
      <c r="I77" s="144"/>
      <c r="J77" s="128"/>
      <c r="K77" s="144"/>
      <c r="L77" s="144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</row>
    <row r="78">
      <c r="A78" s="125"/>
      <c r="B78" s="144"/>
      <c r="C78" s="144"/>
      <c r="D78" s="144"/>
      <c r="E78" s="144"/>
      <c r="F78" s="144"/>
      <c r="G78" s="144"/>
      <c r="H78" s="144"/>
      <c r="I78" s="144"/>
      <c r="J78" s="128"/>
      <c r="K78" s="144"/>
      <c r="L78" s="144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</row>
    <row r="79">
      <c r="A79" s="125"/>
      <c r="B79" s="144"/>
      <c r="C79" s="144"/>
      <c r="D79" s="144"/>
      <c r="E79" s="144"/>
      <c r="F79" s="144"/>
      <c r="G79" s="144"/>
      <c r="H79" s="144"/>
      <c r="I79" s="144"/>
      <c r="J79" s="128"/>
      <c r="K79" s="144"/>
      <c r="L79" s="144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</row>
    <row r="80">
      <c r="A80" s="125"/>
      <c r="B80" s="146"/>
      <c r="C80" s="146"/>
      <c r="D80" s="146"/>
      <c r="E80" s="146"/>
      <c r="F80" s="146"/>
      <c r="G80" s="146"/>
      <c r="H80" s="146"/>
      <c r="I80" s="147">
        <f t="shared" ref="I80:L80" si="50">SUM(I72:I79)</f>
        <v>0.78219</v>
      </c>
      <c r="J80" s="128">
        <f t="shared" si="50"/>
        <v>0.78219</v>
      </c>
      <c r="K80" s="147">
        <f t="shared" si="50"/>
        <v>0.78219</v>
      </c>
      <c r="L80" s="147">
        <f t="shared" si="50"/>
        <v>0.9488566667</v>
      </c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8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8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</row>
    <row r="83">
      <c r="A83" s="125"/>
      <c r="B83" s="148" t="s">
        <v>322</v>
      </c>
      <c r="C83" s="148">
        <v>1.0</v>
      </c>
      <c r="D83" s="148">
        <v>1.0</v>
      </c>
      <c r="E83" s="148">
        <v>1.0</v>
      </c>
      <c r="F83" s="148">
        <v>1.0</v>
      </c>
      <c r="G83" s="148">
        <v>1.0</v>
      </c>
      <c r="H83" s="148">
        <v>1.8</v>
      </c>
      <c r="I83" s="149">
        <f t="shared" ref="I83:I90" si="51">(C83*H83)/G83</f>
        <v>1.8</v>
      </c>
      <c r="J83" s="128">
        <f t="shared" ref="J83:J90" si="52">D83*H83/G83</f>
        <v>1.8</v>
      </c>
      <c r="K83" s="149">
        <f t="shared" ref="K83:K90" si="53">(C83*H83)/G83</f>
        <v>1.8</v>
      </c>
      <c r="L83" s="149">
        <f t="shared" ref="L83:L90" si="54">(F83*H83)/G83</f>
        <v>1.8</v>
      </c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</row>
    <row r="84">
      <c r="A84" s="141"/>
      <c r="B84" s="148" t="s">
        <v>323</v>
      </c>
      <c r="C84" s="148">
        <v>1.0</v>
      </c>
      <c r="D84" s="148">
        <v>1.0</v>
      </c>
      <c r="E84" s="148">
        <v>1.0</v>
      </c>
      <c r="F84" s="148">
        <v>1.0</v>
      </c>
      <c r="G84" s="148">
        <v>6.0</v>
      </c>
      <c r="H84" s="148">
        <v>1.0</v>
      </c>
      <c r="I84" s="149">
        <f t="shared" si="51"/>
        <v>0.1666666667</v>
      </c>
      <c r="J84" s="128">
        <f t="shared" si="52"/>
        <v>0.1666666667</v>
      </c>
      <c r="K84" s="149">
        <f t="shared" si="53"/>
        <v>0.1666666667</v>
      </c>
      <c r="L84" s="149">
        <f t="shared" si="54"/>
        <v>0.1666666667</v>
      </c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</row>
    <row r="85">
      <c r="A85" s="125"/>
      <c r="B85" s="148" t="s">
        <v>324</v>
      </c>
      <c r="C85" s="148">
        <v>1.0</v>
      </c>
      <c r="D85" s="148">
        <v>1.0</v>
      </c>
      <c r="E85" s="148">
        <v>1.0</v>
      </c>
      <c r="F85" s="148">
        <v>1.0</v>
      </c>
      <c r="G85" s="148">
        <v>1.0</v>
      </c>
      <c r="H85" s="148">
        <v>0.9</v>
      </c>
      <c r="I85" s="149">
        <f t="shared" si="51"/>
        <v>0.9</v>
      </c>
      <c r="J85" s="128">
        <f t="shared" si="52"/>
        <v>0.9</v>
      </c>
      <c r="K85" s="149">
        <f t="shared" si="53"/>
        <v>0.9</v>
      </c>
      <c r="L85" s="149">
        <f t="shared" si="54"/>
        <v>0.9</v>
      </c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</row>
    <row r="86">
      <c r="A86" s="150" t="s">
        <v>325</v>
      </c>
      <c r="B86" s="148" t="s">
        <v>326</v>
      </c>
      <c r="C86" s="148">
        <v>1.0</v>
      </c>
      <c r="D86" s="148">
        <v>1.0</v>
      </c>
      <c r="E86" s="148">
        <v>1.0</v>
      </c>
      <c r="F86" s="148">
        <v>1.0</v>
      </c>
      <c r="G86" s="148">
        <v>1.0</v>
      </c>
      <c r="H86" s="148">
        <v>1.85</v>
      </c>
      <c r="I86" s="149">
        <f t="shared" si="51"/>
        <v>1.85</v>
      </c>
      <c r="J86" s="128">
        <f t="shared" si="52"/>
        <v>1.85</v>
      </c>
      <c r="K86" s="149">
        <f t="shared" si="53"/>
        <v>1.85</v>
      </c>
      <c r="L86" s="149">
        <f t="shared" si="54"/>
        <v>1.85</v>
      </c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</row>
    <row r="87">
      <c r="A87" s="125"/>
      <c r="B87" s="148" t="s">
        <v>327</v>
      </c>
      <c r="C87" s="148">
        <v>1.0</v>
      </c>
      <c r="D87" s="148">
        <v>1.0</v>
      </c>
      <c r="E87" s="148">
        <v>1.0</v>
      </c>
      <c r="F87" s="148">
        <v>1.0</v>
      </c>
      <c r="G87" s="148">
        <v>500.0</v>
      </c>
      <c r="H87" s="148">
        <v>0.85</v>
      </c>
      <c r="I87" s="149">
        <f t="shared" si="51"/>
        <v>0.0017</v>
      </c>
      <c r="J87" s="128">
        <f t="shared" si="52"/>
        <v>0.0017</v>
      </c>
      <c r="K87" s="149">
        <f t="shared" si="53"/>
        <v>0.0017</v>
      </c>
      <c r="L87" s="149">
        <f t="shared" si="54"/>
        <v>0.0017</v>
      </c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</row>
    <row r="88">
      <c r="A88" s="125"/>
      <c r="B88" s="148" t="s">
        <v>328</v>
      </c>
      <c r="C88" s="148">
        <v>2.0</v>
      </c>
      <c r="D88" s="148">
        <v>2.0</v>
      </c>
      <c r="E88" s="148">
        <v>2.0</v>
      </c>
      <c r="F88" s="148">
        <v>2.0</v>
      </c>
      <c r="G88" s="148">
        <v>2.0</v>
      </c>
      <c r="H88" s="148">
        <v>0.18</v>
      </c>
      <c r="I88" s="149">
        <f t="shared" si="51"/>
        <v>0.18</v>
      </c>
      <c r="J88" s="128">
        <f t="shared" si="52"/>
        <v>0.18</v>
      </c>
      <c r="K88" s="149">
        <f t="shared" si="53"/>
        <v>0.18</v>
      </c>
      <c r="L88" s="149">
        <f t="shared" si="54"/>
        <v>0.18</v>
      </c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</row>
    <row r="89">
      <c r="A89" s="125"/>
      <c r="B89" s="148" t="s">
        <v>329</v>
      </c>
      <c r="C89" s="148">
        <v>10.0</v>
      </c>
      <c r="D89" s="148">
        <v>10.0</v>
      </c>
      <c r="E89" s="148">
        <v>10.0</v>
      </c>
      <c r="F89" s="148">
        <v>10.0</v>
      </c>
      <c r="G89" s="148">
        <v>100.0</v>
      </c>
      <c r="H89" s="148">
        <v>6.0</v>
      </c>
      <c r="I89" s="149">
        <f t="shared" si="51"/>
        <v>0.6</v>
      </c>
      <c r="J89" s="128">
        <f t="shared" si="52"/>
        <v>0.6</v>
      </c>
      <c r="K89" s="149">
        <f t="shared" si="53"/>
        <v>0.6</v>
      </c>
      <c r="L89" s="149">
        <f t="shared" si="54"/>
        <v>0.6</v>
      </c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</row>
    <row r="90">
      <c r="A90" s="125"/>
      <c r="B90" s="148" t="s">
        <v>330</v>
      </c>
      <c r="C90" s="148">
        <v>3.0</v>
      </c>
      <c r="D90" s="148">
        <v>3.0</v>
      </c>
      <c r="E90" s="148">
        <v>3.0</v>
      </c>
      <c r="F90" s="148">
        <v>3.0</v>
      </c>
      <c r="G90" s="148">
        <v>10.0</v>
      </c>
      <c r="H90" s="148">
        <v>1.0</v>
      </c>
      <c r="I90" s="149">
        <f t="shared" si="51"/>
        <v>0.3</v>
      </c>
      <c r="J90" s="128">
        <f t="shared" si="52"/>
        <v>0.3</v>
      </c>
      <c r="K90" s="149">
        <f t="shared" si="53"/>
        <v>0.3</v>
      </c>
      <c r="L90" s="149">
        <f t="shared" si="54"/>
        <v>0.3</v>
      </c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</row>
    <row r="91">
      <c r="A91" s="125"/>
      <c r="B91" s="125"/>
      <c r="C91" s="125"/>
      <c r="D91" s="125"/>
      <c r="E91" s="125"/>
      <c r="F91" s="125"/>
      <c r="G91" s="125"/>
      <c r="H91" s="125"/>
      <c r="I91" s="151">
        <f t="shared" ref="I91:L91" si="55">SUM(I83:I90)</f>
        <v>5.798366667</v>
      </c>
      <c r="J91" s="131">
        <f t="shared" si="55"/>
        <v>5.798366667</v>
      </c>
      <c r="K91" s="151">
        <f t="shared" si="55"/>
        <v>5.798366667</v>
      </c>
      <c r="L91" s="151">
        <f t="shared" si="55"/>
        <v>5.798366667</v>
      </c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</row>
    <row r="93">
      <c r="A93" s="218" t="s">
        <v>303</v>
      </c>
      <c r="B93" s="219" t="s">
        <v>259</v>
      </c>
      <c r="C93" s="219" t="s">
        <v>441</v>
      </c>
      <c r="D93" s="219" t="s">
        <v>120</v>
      </c>
      <c r="E93" s="219" t="s">
        <v>117</v>
      </c>
      <c r="F93" s="220" t="s">
        <v>337</v>
      </c>
      <c r="G93" s="141"/>
      <c r="H93" s="141"/>
      <c r="I93" s="221"/>
      <c r="J93" s="221"/>
      <c r="K93" s="221"/>
      <c r="L93" s="221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</row>
    <row r="94">
      <c r="A94" s="222" t="s">
        <v>255</v>
      </c>
      <c r="B94" s="223" t="s">
        <v>428</v>
      </c>
      <c r="C94" s="224">
        <f>SUM(I11+I24+I30+I91+I70+I80)</f>
        <v>12.46030808</v>
      </c>
      <c r="D94" s="224">
        <f>SUM(J11+J24+J30+J70+J80+J91)</f>
        <v>13.77610469</v>
      </c>
      <c r="E94" s="224">
        <f t="shared" ref="E94:F94" si="56">SUM(K11+K24+K30+K70+K91)</f>
        <v>14.24588701</v>
      </c>
      <c r="F94" s="225">
        <f t="shared" si="56"/>
        <v>16.46126384</v>
      </c>
      <c r="G94" s="141"/>
      <c r="H94" s="141" t="s">
        <v>303</v>
      </c>
      <c r="I94" s="181" t="s">
        <v>259</v>
      </c>
      <c r="J94" s="181" t="s">
        <v>4</v>
      </c>
      <c r="K94" s="180"/>
      <c r="L94" s="180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</row>
    <row r="95">
      <c r="A95" s="222" t="s">
        <v>306</v>
      </c>
      <c r="B95" s="223" t="s">
        <v>428</v>
      </c>
      <c r="C95" s="226">
        <f>SUM(I19+I24+I30+I91+I70+I80)</f>
        <v>13.31910808</v>
      </c>
      <c r="D95" s="226">
        <f>SUM(J19+J24+J30+J70+J80+J91)</f>
        <v>14.35323181</v>
      </c>
      <c r="E95" s="224">
        <f>SUM(K19+K24+K30+K70+K91)</f>
        <v>15.26993701</v>
      </c>
      <c r="F95" s="227">
        <f>SUM(L11+L24+L30+L70+L91)</f>
        <v>16.46126384</v>
      </c>
      <c r="G95" s="141"/>
      <c r="H95" s="141" t="s">
        <v>255</v>
      </c>
      <c r="I95" s="228" t="s">
        <v>428</v>
      </c>
      <c r="J95" s="181">
        <v>16.0</v>
      </c>
      <c r="K95" s="180"/>
      <c r="L95" s="180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</row>
    <row r="96">
      <c r="A96" s="222" t="s">
        <v>255</v>
      </c>
      <c r="B96" s="223" t="s">
        <v>26</v>
      </c>
      <c r="C96" s="224">
        <f>SUM(I11+I24+I37+I70+I91+I80)</f>
        <v>12.21649452</v>
      </c>
      <c r="D96" s="224">
        <f>SUM(J11+J24+J37+J70+J80+J91)</f>
        <v>13.39187446</v>
      </c>
      <c r="E96" s="224">
        <f t="shared" ref="E96:F96" si="57">SUM(K11+K24+K37+K70+K91)</f>
        <v>13.96721469</v>
      </c>
      <c r="F96" s="225">
        <f t="shared" si="57"/>
        <v>16.14773277</v>
      </c>
      <c r="G96" s="141"/>
      <c r="H96" s="141" t="s">
        <v>306</v>
      </c>
      <c r="I96" s="228" t="s">
        <v>428</v>
      </c>
      <c r="J96" s="181">
        <v>16.0</v>
      </c>
      <c r="K96" s="180"/>
      <c r="L96" s="180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</row>
    <row r="97">
      <c r="A97" s="222" t="s">
        <v>306</v>
      </c>
      <c r="B97" s="223" t="s">
        <v>26</v>
      </c>
      <c r="C97" s="226">
        <f>SUM(I19+I24+I37+I70+I91+I80)</f>
        <v>13.07529452</v>
      </c>
      <c r="D97" s="226">
        <f>SUM(J19+J24+J37+J70+J80+J91)</f>
        <v>13.96900158</v>
      </c>
      <c r="E97" s="224">
        <f t="shared" ref="E97:F97" si="58">SUM(K19+K24+K37+K70+K91)</f>
        <v>14.99126469</v>
      </c>
      <c r="F97" s="225">
        <f t="shared" si="58"/>
        <v>17.26559633</v>
      </c>
      <c r="G97" s="141"/>
      <c r="H97" s="141"/>
      <c r="I97" s="180"/>
      <c r="J97" s="180"/>
      <c r="K97" s="180"/>
      <c r="L97" s="180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</row>
    <row r="98">
      <c r="A98" s="222" t="s">
        <v>255</v>
      </c>
      <c r="B98" s="223" t="s">
        <v>368</v>
      </c>
      <c r="C98" s="224">
        <f t="shared" ref="C98:D98" si="59">SUM(I11+I24+I48+I70+I91+I80)</f>
        <v>14.61691119</v>
      </c>
      <c r="D98" s="224">
        <f t="shared" si="59"/>
        <v>15.51554113</v>
      </c>
      <c r="E98" s="224">
        <f t="shared" ref="E98:F98" si="60">SUM(K11+K24+K48+K70+K91)</f>
        <v>16.65638136</v>
      </c>
      <c r="F98" s="225">
        <f t="shared" si="60"/>
        <v>20.7735661</v>
      </c>
      <c r="G98" s="141"/>
      <c r="H98" s="141"/>
      <c r="I98" s="180"/>
      <c r="J98" s="180"/>
      <c r="K98" s="180"/>
      <c r="L98" s="180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</row>
    <row r="99">
      <c r="A99" s="222" t="s">
        <v>255</v>
      </c>
      <c r="B99" s="223" t="s">
        <v>442</v>
      </c>
      <c r="C99" s="224">
        <f t="shared" ref="C99:D99" si="61">SUM(I11+I24+I63+I70+I91+I80)</f>
        <v>13.61049452</v>
      </c>
      <c r="D99" s="224">
        <f t="shared" si="61"/>
        <v>14.79542446</v>
      </c>
      <c r="E99" s="226">
        <f t="shared" ref="E99:F99" si="62">SUM(K11+K24+K63+K70+K91)</f>
        <v>15.58571469</v>
      </c>
      <c r="F99" s="227">
        <f t="shared" si="62"/>
        <v>17.99073277</v>
      </c>
      <c r="G99" s="141"/>
      <c r="H99" s="141"/>
      <c r="I99" s="180"/>
      <c r="J99" s="180"/>
      <c r="K99" s="180"/>
      <c r="L99" s="180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</row>
    <row r="100">
      <c r="A100" s="222" t="s">
        <v>255</v>
      </c>
      <c r="B100" s="223" t="s">
        <v>438</v>
      </c>
      <c r="C100" s="224">
        <f t="shared" ref="C100:D100" si="63">SUM(I11+I24+I56+I70+I91*I80)</f>
        <v>11.71636228</v>
      </c>
      <c r="D100" s="224">
        <f t="shared" si="63"/>
        <v>12.61499222</v>
      </c>
      <c r="E100" s="226">
        <f t="shared" ref="E100:F100" si="64">SUM(K11+K24+K56+K70+K91)</f>
        <v>15.12971469</v>
      </c>
      <c r="F100" s="227">
        <f t="shared" si="64"/>
        <v>17.36773277</v>
      </c>
      <c r="G100" s="141"/>
      <c r="H100" s="141"/>
      <c r="I100" s="180"/>
      <c r="J100" s="180"/>
      <c r="K100" s="180"/>
      <c r="L100" s="180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</row>
    <row r="101">
      <c r="A101" s="229" t="s">
        <v>306</v>
      </c>
      <c r="B101" s="230" t="s">
        <v>438</v>
      </c>
      <c r="C101" s="231">
        <f t="shared" ref="C101:D101" si="65">SUM(I11+I24+I56+I70+I91+I80)</f>
        <v>13.76149452</v>
      </c>
      <c r="D101" s="231">
        <f t="shared" si="65"/>
        <v>14.66012446</v>
      </c>
      <c r="E101" s="231">
        <f t="shared" ref="E101:F101" si="66">SUM(K11+K24+K56+K70+K91)</f>
        <v>15.12971469</v>
      </c>
      <c r="F101" s="232">
        <f t="shared" si="66"/>
        <v>17.36773277</v>
      </c>
      <c r="G101" s="141"/>
      <c r="H101" s="141"/>
      <c r="I101" s="180"/>
      <c r="J101" s="180"/>
      <c r="K101" s="180"/>
      <c r="L101" s="180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</row>
    <row r="104">
      <c r="A104" s="233" t="s">
        <v>303</v>
      </c>
      <c r="B104" s="233" t="s">
        <v>259</v>
      </c>
      <c r="C104" s="233" t="s">
        <v>116</v>
      </c>
      <c r="D104" s="233"/>
      <c r="E104" s="233" t="s">
        <v>117</v>
      </c>
      <c r="F104" s="233" t="s">
        <v>118</v>
      </c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</row>
    <row r="105">
      <c r="A105" s="234" t="s">
        <v>255</v>
      </c>
      <c r="B105" s="235" t="s">
        <v>428</v>
      </c>
      <c r="C105" s="236">
        <v>30.0</v>
      </c>
      <c r="D105" s="236"/>
      <c r="E105" s="236">
        <v>35.0</v>
      </c>
      <c r="F105" s="236">
        <v>40.0</v>
      </c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</row>
    <row r="106">
      <c r="A106" s="234" t="s">
        <v>306</v>
      </c>
      <c r="B106" s="235" t="s">
        <v>428</v>
      </c>
      <c r="C106" s="236">
        <v>30.0</v>
      </c>
      <c r="D106" s="236"/>
      <c r="E106" s="236">
        <v>35.0</v>
      </c>
      <c r="F106" s="236">
        <v>40.0</v>
      </c>
      <c r="G106" s="125"/>
      <c r="H106" s="141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</row>
    <row r="107">
      <c r="A107" s="234" t="s">
        <v>255</v>
      </c>
      <c r="B107" s="235" t="s">
        <v>26</v>
      </c>
      <c r="C107" s="236">
        <v>30.0</v>
      </c>
      <c r="D107" s="236"/>
      <c r="E107" s="236">
        <v>35.0</v>
      </c>
      <c r="F107" s="236">
        <v>40.0</v>
      </c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</row>
    <row r="108">
      <c r="A108" s="234" t="s">
        <v>306</v>
      </c>
      <c r="B108" s="235" t="s">
        <v>26</v>
      </c>
      <c r="C108" s="236">
        <v>30.0</v>
      </c>
      <c r="D108" s="236"/>
      <c r="E108" s="236">
        <v>35.0</v>
      </c>
      <c r="F108" s="236">
        <v>40.0</v>
      </c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</row>
    <row r="109">
      <c r="A109" s="234" t="s">
        <v>255</v>
      </c>
      <c r="B109" s="235" t="s">
        <v>368</v>
      </c>
      <c r="C109" s="236">
        <v>30.0</v>
      </c>
      <c r="D109" s="236"/>
      <c r="E109" s="236">
        <v>35.0</v>
      </c>
      <c r="F109" s="236">
        <v>40.0</v>
      </c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</row>
    <row r="110">
      <c r="A110" s="234" t="s">
        <v>255</v>
      </c>
      <c r="B110" s="235" t="s">
        <v>442</v>
      </c>
      <c r="C110" s="236">
        <v>30.0</v>
      </c>
      <c r="D110" s="236"/>
      <c r="E110" s="236">
        <v>35.0</v>
      </c>
      <c r="F110" s="236">
        <v>40.0</v>
      </c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</row>
    <row r="111">
      <c r="A111" s="234" t="s">
        <v>255</v>
      </c>
      <c r="B111" s="235" t="s">
        <v>438</v>
      </c>
      <c r="C111" s="236">
        <v>30.0</v>
      </c>
      <c r="D111" s="236"/>
      <c r="E111" s="236">
        <v>35.0</v>
      </c>
      <c r="F111" s="236">
        <v>40.0</v>
      </c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</row>
    <row r="112">
      <c r="A112" s="237" t="s">
        <v>306</v>
      </c>
      <c r="B112" s="238" t="s">
        <v>438</v>
      </c>
      <c r="C112" s="236">
        <v>30.0</v>
      </c>
      <c r="D112" s="236"/>
      <c r="E112" s="236">
        <v>35.0</v>
      </c>
      <c r="F112" s="236">
        <v>40.0</v>
      </c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  <c r="AE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  <c r="AE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  <c r="AE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  <c r="AE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  <c r="AE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  <c r="AE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  <c r="AE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  <c r="AE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  <c r="AE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  <c r="AE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  <c r="AE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  <c r="AE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  <c r="AE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  <c r="AE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  <c r="AE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  <c r="AE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  <c r="AE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  <c r="AE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  <c r="AE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  <c r="AE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  <c r="AE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  <c r="AE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  <c r="AE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  <c r="AE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  <c r="AE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  <c r="AE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  <c r="AE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  <c r="AE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  <c r="AE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  <c r="AE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  <c r="AE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  <c r="AE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  <c r="AE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  <c r="AE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  <c r="AE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  <c r="AE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  <c r="AE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  <c r="AE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  <c r="AE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  <c r="AE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  <c r="AE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  <c r="AE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  <c r="AE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  <c r="AE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  <c r="AE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  <c r="AE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  <c r="AE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  <c r="AE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  <c r="AE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  <c r="AE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  <c r="AE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  <c r="AE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  <c r="AE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  <c r="AE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  <c r="AE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  <c r="AE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5"/>
      <c r="AD1000" s="125"/>
      <c r="AE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5"/>
      <c r="AD1001" s="125"/>
      <c r="AE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  <c r="AB1002" s="125"/>
      <c r="AC1002" s="125"/>
      <c r="AD1002" s="125"/>
      <c r="AE1002" s="125"/>
    </row>
    <row r="1003">
      <c r="A1003" s="125"/>
      <c r="B1003" s="125"/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  <c r="AB1003" s="125"/>
      <c r="AC1003" s="125"/>
      <c r="AD1003" s="125"/>
      <c r="AE1003" s="125"/>
    </row>
    <row r="1004">
      <c r="A1004" s="125"/>
      <c r="B1004" s="125"/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  <c r="AB1004" s="125"/>
      <c r="AC1004" s="125"/>
      <c r="AD1004" s="125"/>
      <c r="AE1004" s="125"/>
    </row>
    <row r="1005">
      <c r="A1005" s="125"/>
      <c r="B1005" s="125"/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  <c r="AB1005" s="125"/>
      <c r="AC1005" s="125"/>
      <c r="AD1005" s="125"/>
      <c r="AE1005" s="125"/>
    </row>
    <row r="1006">
      <c r="A1006" s="125"/>
      <c r="B1006" s="125"/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  <c r="AB1006" s="125"/>
      <c r="AC1006" s="125"/>
      <c r="AD1006" s="125"/>
      <c r="AE1006" s="125"/>
    </row>
    <row r="1007">
      <c r="A1007" s="125"/>
      <c r="B1007" s="125"/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  <c r="AB1007" s="125"/>
      <c r="AC1007" s="125"/>
      <c r="AD1007" s="125"/>
      <c r="AE1007" s="125"/>
    </row>
    <row r="1008">
      <c r="A1008" s="125"/>
      <c r="B1008" s="125"/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  <c r="AB1008" s="125"/>
      <c r="AC1008" s="125"/>
      <c r="AD1008" s="125"/>
      <c r="AE1008" s="125"/>
    </row>
    <row r="1009">
      <c r="A1009" s="125"/>
      <c r="B1009" s="125"/>
      <c r="C1009" s="125"/>
      <c r="D1009" s="125"/>
      <c r="E1009" s="125"/>
      <c r="F1009" s="125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  <c r="AB1009" s="125"/>
      <c r="AC1009" s="125"/>
      <c r="AD1009" s="125"/>
      <c r="AE1009" s="125"/>
    </row>
    <row r="1010">
      <c r="A1010" s="125"/>
      <c r="B1010" s="125"/>
      <c r="C1010" s="125"/>
      <c r="D1010" s="125"/>
      <c r="E1010" s="125"/>
      <c r="F1010" s="125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  <c r="AB1010" s="125"/>
      <c r="AC1010" s="125"/>
      <c r="AD1010" s="125"/>
      <c r="AE1010" s="125"/>
    </row>
    <row r="1011">
      <c r="A1011" s="125"/>
      <c r="B1011" s="125"/>
      <c r="C1011" s="125"/>
      <c r="D1011" s="125"/>
      <c r="E1011" s="125"/>
      <c r="F1011" s="125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  <c r="AA1011" s="125"/>
      <c r="AB1011" s="125"/>
      <c r="AC1011" s="125"/>
      <c r="AD1011" s="125"/>
      <c r="AE1011" s="125"/>
    </row>
    <row r="1012">
      <c r="A1012" s="125"/>
      <c r="B1012" s="125"/>
      <c r="C1012" s="125"/>
      <c r="D1012" s="125"/>
      <c r="E1012" s="125"/>
      <c r="F1012" s="125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125"/>
      <c r="V1012" s="125"/>
      <c r="W1012" s="125"/>
      <c r="X1012" s="125"/>
      <c r="Y1012" s="125"/>
      <c r="Z1012" s="125"/>
      <c r="AA1012" s="125"/>
      <c r="AB1012" s="125"/>
      <c r="AC1012" s="125"/>
      <c r="AD1012" s="125"/>
      <c r="AE1012" s="125"/>
    </row>
    <row r="1013">
      <c r="A1013" s="125"/>
      <c r="B1013" s="125"/>
      <c r="C1013" s="125"/>
      <c r="D1013" s="125"/>
      <c r="E1013" s="125"/>
      <c r="F1013" s="125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125"/>
      <c r="V1013" s="125"/>
      <c r="W1013" s="125"/>
      <c r="X1013" s="125"/>
      <c r="Y1013" s="125"/>
      <c r="Z1013" s="125"/>
      <c r="AA1013" s="125"/>
      <c r="AB1013" s="125"/>
      <c r="AC1013" s="125"/>
      <c r="AD1013" s="125"/>
      <c r="AE1013" s="125"/>
    </row>
    <row r="1014">
      <c r="A1014" s="125"/>
      <c r="B1014" s="125"/>
      <c r="C1014" s="125"/>
      <c r="D1014" s="125"/>
      <c r="E1014" s="125"/>
      <c r="F1014" s="125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125"/>
      <c r="V1014" s="125"/>
      <c r="W1014" s="125"/>
      <c r="X1014" s="125"/>
      <c r="Y1014" s="125"/>
      <c r="Z1014" s="125"/>
      <c r="AA1014" s="125"/>
      <c r="AB1014" s="125"/>
      <c r="AC1014" s="125"/>
      <c r="AD1014" s="125"/>
      <c r="AE1014" s="12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9" max="12" width="13.38"/>
  </cols>
  <sheetData>
    <row r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5"/>
      <c r="C3" s="141" t="s">
        <v>443</v>
      </c>
      <c r="D3" s="141" t="s">
        <v>444</v>
      </c>
      <c r="E3" s="141" t="s">
        <v>445</v>
      </c>
      <c r="F3" s="141" t="s">
        <v>446</v>
      </c>
      <c r="G3" s="125"/>
      <c r="H3" s="125"/>
      <c r="I3" s="141" t="s">
        <v>443</v>
      </c>
      <c r="J3" s="141" t="s">
        <v>444</v>
      </c>
      <c r="K3" s="141" t="s">
        <v>445</v>
      </c>
      <c r="L3" s="141" t="s">
        <v>446</v>
      </c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14" t="s">
        <v>193</v>
      </c>
      <c r="C4" s="113" t="s">
        <v>297</v>
      </c>
      <c r="D4" s="113" t="s">
        <v>447</v>
      </c>
      <c r="E4" s="113" t="s">
        <v>448</v>
      </c>
      <c r="F4" s="113" t="s">
        <v>449</v>
      </c>
      <c r="G4" s="113" t="s">
        <v>247</v>
      </c>
      <c r="H4" s="113" t="s">
        <v>248</v>
      </c>
      <c r="I4" s="113" t="s">
        <v>297</v>
      </c>
      <c r="J4" s="113" t="s">
        <v>447</v>
      </c>
      <c r="K4" s="113" t="s">
        <v>448</v>
      </c>
      <c r="L4" s="113" t="s">
        <v>449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62"/>
      <c r="B5" s="160" t="s">
        <v>205</v>
      </c>
      <c r="C5" s="161">
        <v>140.0</v>
      </c>
      <c r="D5" s="161">
        <v>180.0</v>
      </c>
      <c r="E5" s="161">
        <v>240.0</v>
      </c>
      <c r="F5" s="161">
        <v>270.0</v>
      </c>
      <c r="G5" s="160">
        <v>1000.0</v>
      </c>
      <c r="H5" s="162">
        <v>1.07</v>
      </c>
      <c r="I5" s="163">
        <f t="shared" ref="I5:I10" si="1">(C5*H5)/G5</f>
        <v>0.1498</v>
      </c>
      <c r="J5" s="164">
        <f t="shared" ref="J5:J10" si="2">(D5*H5)/G5</f>
        <v>0.1926</v>
      </c>
      <c r="K5" s="164">
        <f t="shared" ref="K5:K10" si="3">(E5*H5)/G5</f>
        <v>0.2568</v>
      </c>
      <c r="L5" s="164">
        <f t="shared" ref="L5:L10" si="4">(F5*H5)/G5</f>
        <v>0.2889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165" t="s">
        <v>342</v>
      </c>
      <c r="B6" s="160" t="s">
        <v>203</v>
      </c>
      <c r="C6" s="160">
        <v>5.0</v>
      </c>
      <c r="D6" s="161">
        <v>6.0</v>
      </c>
      <c r="E6" s="161">
        <v>8.0</v>
      </c>
      <c r="F6" s="161">
        <v>9.0</v>
      </c>
      <c r="G6" s="160">
        <v>12.0</v>
      </c>
      <c r="H6" s="162">
        <v>2.5</v>
      </c>
      <c r="I6" s="163">
        <f t="shared" si="1"/>
        <v>1.041666667</v>
      </c>
      <c r="J6" s="164">
        <f t="shared" si="2"/>
        <v>1.25</v>
      </c>
      <c r="K6" s="164">
        <f t="shared" si="3"/>
        <v>1.666666667</v>
      </c>
      <c r="L6" s="164">
        <f t="shared" si="4"/>
        <v>1.875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65" t="s">
        <v>306</v>
      </c>
      <c r="B7" s="160" t="s">
        <v>304</v>
      </c>
      <c r="C7" s="160">
        <v>150.0</v>
      </c>
      <c r="D7" s="161">
        <v>180.0</v>
      </c>
      <c r="E7" s="161">
        <v>240.0</v>
      </c>
      <c r="F7" s="161">
        <v>270.0</v>
      </c>
      <c r="G7" s="160">
        <v>1000.0</v>
      </c>
      <c r="H7" s="162">
        <v>1.49</v>
      </c>
      <c r="I7" s="163">
        <f t="shared" si="1"/>
        <v>0.2235</v>
      </c>
      <c r="J7" s="164">
        <f t="shared" si="2"/>
        <v>0.2682</v>
      </c>
      <c r="K7" s="164">
        <f t="shared" si="3"/>
        <v>0.3576</v>
      </c>
      <c r="L7" s="164">
        <f t="shared" si="4"/>
        <v>0.4023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62"/>
      <c r="B8" s="160" t="s">
        <v>207</v>
      </c>
      <c r="C8" s="161">
        <v>5.0</v>
      </c>
      <c r="D8" s="161">
        <v>10.0</v>
      </c>
      <c r="E8" s="161">
        <v>10.0</v>
      </c>
      <c r="F8" s="161">
        <v>15.0</v>
      </c>
      <c r="G8" s="161">
        <v>236.0</v>
      </c>
      <c r="H8" s="162">
        <v>6.9</v>
      </c>
      <c r="I8" s="163">
        <f t="shared" si="1"/>
        <v>0.1461864407</v>
      </c>
      <c r="J8" s="164">
        <f t="shared" si="2"/>
        <v>0.2923728814</v>
      </c>
      <c r="K8" s="164">
        <f t="shared" si="3"/>
        <v>0.2923728814</v>
      </c>
      <c r="L8" s="164">
        <f t="shared" si="4"/>
        <v>0.438559322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33"/>
      <c r="B9" s="166" t="s">
        <v>274</v>
      </c>
      <c r="C9" s="166">
        <v>30.0</v>
      </c>
      <c r="D9" s="166">
        <v>40.0</v>
      </c>
      <c r="E9" s="166">
        <v>50.0</v>
      </c>
      <c r="F9" s="166">
        <v>60.0</v>
      </c>
      <c r="G9" s="166">
        <v>250.0</v>
      </c>
      <c r="H9" s="167">
        <v>6.0</v>
      </c>
      <c r="I9" s="163">
        <f t="shared" si="1"/>
        <v>0.72</v>
      </c>
      <c r="J9" s="164">
        <f t="shared" si="2"/>
        <v>0.96</v>
      </c>
      <c r="K9" s="164">
        <f t="shared" si="3"/>
        <v>1.2</v>
      </c>
      <c r="L9" s="164">
        <f t="shared" si="4"/>
        <v>1.44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33"/>
      <c r="B10" s="166" t="s">
        <v>244</v>
      </c>
      <c r="C10" s="166">
        <v>20.0</v>
      </c>
      <c r="D10" s="166">
        <v>30.0</v>
      </c>
      <c r="E10" s="166">
        <v>40.0</v>
      </c>
      <c r="F10" s="166">
        <v>40.0</v>
      </c>
      <c r="G10" s="166">
        <v>400.0</v>
      </c>
      <c r="H10" s="167">
        <v>2.99</v>
      </c>
      <c r="I10" s="163">
        <f t="shared" si="1"/>
        <v>0.1495</v>
      </c>
      <c r="J10" s="164">
        <f t="shared" si="2"/>
        <v>0.22425</v>
      </c>
      <c r="K10" s="164">
        <f t="shared" si="3"/>
        <v>0.299</v>
      </c>
      <c r="L10" s="164">
        <f t="shared" si="4"/>
        <v>0.299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33"/>
      <c r="B11" s="77"/>
      <c r="C11" s="77"/>
      <c r="D11" s="77"/>
      <c r="E11" s="77"/>
      <c r="F11" s="77"/>
      <c r="G11" s="77"/>
      <c r="H11" s="168"/>
      <c r="I11" s="169">
        <f t="shared" ref="I11:L11" si="5">SUM(I5:I10)</f>
        <v>2.430653107</v>
      </c>
      <c r="J11" s="170">
        <f t="shared" si="5"/>
        <v>3.187422881</v>
      </c>
      <c r="K11" s="170">
        <f t="shared" si="5"/>
        <v>4.072439548</v>
      </c>
      <c r="L11" s="170">
        <f t="shared" si="5"/>
        <v>4.743759322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6" t="s">
        <v>304</v>
      </c>
      <c r="C13" s="126">
        <v>100.0</v>
      </c>
      <c r="D13" s="126">
        <v>150.0</v>
      </c>
      <c r="E13" s="126">
        <v>200.0</v>
      </c>
      <c r="F13" s="126">
        <v>250.0</v>
      </c>
      <c r="G13" s="126">
        <v>1000.0</v>
      </c>
      <c r="H13" s="126">
        <v>1.49</v>
      </c>
      <c r="I13" s="127">
        <f t="shared" ref="I13:I15" si="6">(C13*H13)/G13</f>
        <v>0.149</v>
      </c>
      <c r="J13" s="127">
        <f t="shared" ref="J13:J15" si="7">(D13*H13)/G13</f>
        <v>0.2235</v>
      </c>
      <c r="K13" s="127">
        <f t="shared" ref="K13:K15" si="8">(E13*H13)/G13</f>
        <v>0.298</v>
      </c>
      <c r="L13" s="239">
        <f>(F13*H5)/G5</f>
        <v>0.2675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9" t="s">
        <v>305</v>
      </c>
      <c r="B14" s="126" t="s">
        <v>206</v>
      </c>
      <c r="C14" s="126">
        <v>100.0</v>
      </c>
      <c r="D14" s="126">
        <v>150.0</v>
      </c>
      <c r="E14" s="126">
        <v>200.0</v>
      </c>
      <c r="F14" s="126">
        <v>250.0</v>
      </c>
      <c r="G14" s="126">
        <v>1000.0</v>
      </c>
      <c r="H14" s="126">
        <v>0.25</v>
      </c>
      <c r="I14" s="127">
        <f t="shared" si="6"/>
        <v>0.025</v>
      </c>
      <c r="J14" s="127">
        <f t="shared" si="7"/>
        <v>0.0375</v>
      </c>
      <c r="K14" s="127">
        <f t="shared" si="8"/>
        <v>0.05</v>
      </c>
      <c r="L14" s="127">
        <f t="shared" ref="L14:L15" si="9">(F14*H14)/G14</f>
        <v>0.0625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5"/>
      <c r="B15" s="126" t="s">
        <v>207</v>
      </c>
      <c r="C15" s="126">
        <v>3.0</v>
      </c>
      <c r="D15" s="126">
        <v>5.0</v>
      </c>
      <c r="E15" s="126">
        <v>9.0</v>
      </c>
      <c r="F15" s="126">
        <v>11.0</v>
      </c>
      <c r="G15" s="126">
        <v>236.0</v>
      </c>
      <c r="H15" s="126">
        <v>6.9</v>
      </c>
      <c r="I15" s="127">
        <f t="shared" si="6"/>
        <v>0.08771186441</v>
      </c>
      <c r="J15" s="127">
        <f t="shared" si="7"/>
        <v>0.1461864407</v>
      </c>
      <c r="K15" s="127">
        <f t="shared" si="8"/>
        <v>0.2631355932</v>
      </c>
      <c r="L15" s="127">
        <f t="shared" si="9"/>
        <v>0.3216101695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5"/>
      <c r="C16" s="125"/>
      <c r="D16" s="125"/>
      <c r="E16" s="125"/>
      <c r="F16" s="125"/>
      <c r="G16" s="125"/>
      <c r="H16" s="125"/>
      <c r="I16" s="130">
        <f t="shared" ref="I16:L16" si="10">SUM(I13:I15)</f>
        <v>0.2617118644</v>
      </c>
      <c r="J16" s="130">
        <f t="shared" si="10"/>
        <v>0.4071864407</v>
      </c>
      <c r="K16" s="130">
        <f t="shared" si="10"/>
        <v>0.6111355932</v>
      </c>
      <c r="L16" s="240">
        <f t="shared" si="10"/>
        <v>0.6516101695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71" t="s">
        <v>308</v>
      </c>
      <c r="C18" s="171">
        <v>300.0</v>
      </c>
      <c r="D18" s="171">
        <v>400.0</v>
      </c>
      <c r="E18" s="171">
        <v>500.0</v>
      </c>
      <c r="F18" s="171">
        <v>600.0</v>
      </c>
      <c r="G18" s="171">
        <v>600.0</v>
      </c>
      <c r="H18" s="171">
        <v>2.36</v>
      </c>
      <c r="I18" s="172">
        <f t="shared" ref="I18:I22" si="11">(C18*H18)/G18</f>
        <v>1.18</v>
      </c>
      <c r="J18" s="172">
        <f t="shared" ref="J18:J22" si="12">(D18*H18)/G18</f>
        <v>1.573333333</v>
      </c>
      <c r="K18" s="172">
        <f t="shared" ref="K18:K22" si="13">(E18*H18)/G18</f>
        <v>1.966666667</v>
      </c>
      <c r="L18" s="172">
        <f t="shared" ref="L18:L22" si="14">(F18*H18)/G18</f>
        <v>2.36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50" t="s">
        <v>344</v>
      </c>
      <c r="B19" s="171" t="s">
        <v>345</v>
      </c>
      <c r="C19" s="171">
        <v>100.0</v>
      </c>
      <c r="D19" s="171">
        <v>150.0</v>
      </c>
      <c r="E19" s="171">
        <v>200.0</v>
      </c>
      <c r="F19" s="171">
        <v>200.0</v>
      </c>
      <c r="G19" s="171">
        <v>250.0</v>
      </c>
      <c r="H19" s="171">
        <v>2.0</v>
      </c>
      <c r="I19" s="172">
        <f t="shared" si="11"/>
        <v>0.8</v>
      </c>
      <c r="J19" s="172">
        <f t="shared" si="12"/>
        <v>1.2</v>
      </c>
      <c r="K19" s="172">
        <f t="shared" si="13"/>
        <v>1.6</v>
      </c>
      <c r="L19" s="172">
        <f t="shared" si="14"/>
        <v>1.6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50" t="s">
        <v>450</v>
      </c>
      <c r="B20" s="171" t="s">
        <v>451</v>
      </c>
      <c r="C20" s="171">
        <v>108.0</v>
      </c>
      <c r="D20" s="171">
        <v>108.0</v>
      </c>
      <c r="E20" s="171">
        <v>108.0</v>
      </c>
      <c r="F20" s="171">
        <v>150.0</v>
      </c>
      <c r="G20" s="171">
        <v>108.0</v>
      </c>
      <c r="H20" s="171">
        <v>2.99</v>
      </c>
      <c r="I20" s="172">
        <f t="shared" si="11"/>
        <v>2.99</v>
      </c>
      <c r="J20" s="172">
        <f t="shared" si="12"/>
        <v>2.99</v>
      </c>
      <c r="K20" s="172">
        <f t="shared" si="13"/>
        <v>2.99</v>
      </c>
      <c r="L20" s="172">
        <f t="shared" si="14"/>
        <v>4.152777778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50"/>
      <c r="B21" s="171" t="s">
        <v>348</v>
      </c>
      <c r="C21" s="171">
        <v>80.0</v>
      </c>
      <c r="D21" s="171">
        <v>90.0</v>
      </c>
      <c r="E21" s="171">
        <v>100.0</v>
      </c>
      <c r="F21" s="171">
        <v>120.0</v>
      </c>
      <c r="G21" s="171">
        <v>1000.0</v>
      </c>
      <c r="H21" s="171">
        <v>1.49</v>
      </c>
      <c r="I21" s="172">
        <f t="shared" si="11"/>
        <v>0.1192</v>
      </c>
      <c r="J21" s="172">
        <f t="shared" si="12"/>
        <v>0.1341</v>
      </c>
      <c r="K21" s="172">
        <f t="shared" si="13"/>
        <v>0.149</v>
      </c>
      <c r="L21" s="172">
        <f t="shared" si="14"/>
        <v>0.1788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25"/>
      <c r="B22" s="171" t="s">
        <v>207</v>
      </c>
      <c r="C22" s="171">
        <v>5.0</v>
      </c>
      <c r="D22" s="171">
        <v>7.0</v>
      </c>
      <c r="E22" s="171">
        <v>9.0</v>
      </c>
      <c r="F22" s="171">
        <v>8.0</v>
      </c>
      <c r="G22" s="171">
        <v>236.0</v>
      </c>
      <c r="H22" s="171">
        <v>6.9</v>
      </c>
      <c r="I22" s="172">
        <f t="shared" si="11"/>
        <v>0.1461864407</v>
      </c>
      <c r="J22" s="172">
        <f t="shared" si="12"/>
        <v>0.2046610169</v>
      </c>
      <c r="K22" s="172">
        <f t="shared" si="13"/>
        <v>0.2631355932</v>
      </c>
      <c r="L22" s="172">
        <f t="shared" si="14"/>
        <v>0.2338983051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25"/>
      <c r="C23" s="125"/>
      <c r="D23" s="125"/>
      <c r="E23" s="125"/>
      <c r="F23" s="125"/>
      <c r="G23" s="125"/>
      <c r="H23" s="125"/>
      <c r="I23" s="173">
        <f t="shared" ref="I23:L23" si="15">SUM(I18:I22)</f>
        <v>5.235386441</v>
      </c>
      <c r="J23" s="173">
        <f t="shared" si="15"/>
        <v>6.10209435</v>
      </c>
      <c r="K23" s="173">
        <f t="shared" si="15"/>
        <v>6.96880226</v>
      </c>
      <c r="L23" s="173">
        <f t="shared" si="15"/>
        <v>8.525476083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38" t="s">
        <v>311</v>
      </c>
      <c r="B25" s="139" t="s">
        <v>308</v>
      </c>
      <c r="C25" s="139">
        <v>150.0</v>
      </c>
      <c r="D25" s="139">
        <v>200.0</v>
      </c>
      <c r="E25" s="139">
        <v>200.0</v>
      </c>
      <c r="F25" s="139">
        <v>450.0</v>
      </c>
      <c r="G25" s="139">
        <v>600.0</v>
      </c>
      <c r="H25" s="139">
        <v>2.36</v>
      </c>
      <c r="I25" s="140">
        <f t="shared" ref="I25:I28" si="16">(C25*H25)/G25</f>
        <v>0.59</v>
      </c>
      <c r="J25" s="140">
        <f t="shared" ref="J25:J28" si="17">(D25*H25)/G25</f>
        <v>0.7866666667</v>
      </c>
      <c r="K25" s="140">
        <f t="shared" ref="K25:K28" si="18">(E25*H25)/G25</f>
        <v>0.7866666667</v>
      </c>
      <c r="L25" s="140">
        <f t="shared" ref="L25:L28" si="19">(F25*H25)/G25</f>
        <v>1.77</v>
      </c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38" t="s">
        <v>349</v>
      </c>
      <c r="B26" s="139" t="s">
        <v>306</v>
      </c>
      <c r="C26" s="139">
        <v>500.0</v>
      </c>
      <c r="D26" s="139">
        <v>600.0</v>
      </c>
      <c r="E26" s="139">
        <v>600.0</v>
      </c>
      <c r="F26" s="139">
        <v>900.0</v>
      </c>
      <c r="G26" s="139">
        <v>100.0</v>
      </c>
      <c r="H26" s="139">
        <v>1.15</v>
      </c>
      <c r="I26" s="140">
        <f t="shared" si="16"/>
        <v>5.75</v>
      </c>
      <c r="J26" s="140">
        <f t="shared" si="17"/>
        <v>6.9</v>
      </c>
      <c r="K26" s="140">
        <f t="shared" si="18"/>
        <v>6.9</v>
      </c>
      <c r="L26" s="140">
        <f t="shared" si="19"/>
        <v>10.35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38" t="s">
        <v>109</v>
      </c>
      <c r="B27" s="139" t="s">
        <v>451</v>
      </c>
      <c r="C27" s="139">
        <v>0.0</v>
      </c>
      <c r="D27" s="139">
        <v>0.0</v>
      </c>
      <c r="E27" s="139">
        <v>0.0</v>
      </c>
      <c r="F27" s="139">
        <v>0.0</v>
      </c>
      <c r="G27" s="139">
        <v>100.0</v>
      </c>
      <c r="H27" s="139">
        <v>1.79</v>
      </c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41"/>
      <c r="B28" s="139" t="s">
        <v>294</v>
      </c>
      <c r="C28" s="139">
        <v>200.0</v>
      </c>
      <c r="D28" s="139">
        <v>250.0</v>
      </c>
      <c r="E28" s="139">
        <v>300.0</v>
      </c>
      <c r="F28" s="139">
        <v>350.0</v>
      </c>
      <c r="G28" s="139">
        <v>2000.0</v>
      </c>
      <c r="H28" s="139">
        <v>10.75</v>
      </c>
      <c r="I28" s="140">
        <f t="shared" si="16"/>
        <v>1.075</v>
      </c>
      <c r="J28" s="140">
        <f t="shared" si="17"/>
        <v>1.34375</v>
      </c>
      <c r="K28" s="140">
        <f t="shared" si="18"/>
        <v>1.6125</v>
      </c>
      <c r="L28" s="140">
        <f t="shared" si="19"/>
        <v>1.88125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25"/>
      <c r="B29" s="125"/>
      <c r="C29" s="125"/>
      <c r="D29" s="125"/>
      <c r="E29" s="125"/>
      <c r="F29" s="125"/>
      <c r="G29" s="125"/>
      <c r="H29" s="125"/>
      <c r="I29" s="142">
        <f t="shared" ref="I29:L29" si="20">SUM(I25:I28)</f>
        <v>7.415</v>
      </c>
      <c r="J29" s="142">
        <f t="shared" si="20"/>
        <v>9.030416667</v>
      </c>
      <c r="K29" s="142">
        <f t="shared" si="20"/>
        <v>9.299166667</v>
      </c>
      <c r="L29" s="142">
        <f t="shared" si="20"/>
        <v>14.00125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43" t="s">
        <v>317</v>
      </c>
      <c r="C31" s="144">
        <v>1.0</v>
      </c>
      <c r="D31" s="144">
        <v>1.0</v>
      </c>
      <c r="E31" s="144">
        <v>1.0</v>
      </c>
      <c r="F31" s="143">
        <v>1.0</v>
      </c>
      <c r="G31" s="143">
        <v>20.0</v>
      </c>
      <c r="H31" s="143">
        <v>1.13</v>
      </c>
      <c r="I31" s="144">
        <f t="shared" ref="I31:I35" si="21">(C31*H31)/G31</f>
        <v>0.0565</v>
      </c>
      <c r="J31" s="144">
        <f t="shared" ref="J31:J35" si="22">(C31*H31)/G31</f>
        <v>0.0565</v>
      </c>
      <c r="K31" s="144">
        <f t="shared" ref="K31:K35" si="23">(E31*H31)/G31</f>
        <v>0.0565</v>
      </c>
      <c r="L31" s="144">
        <f t="shared" ref="L31:L35" si="24">(F31*H31)/G31</f>
        <v>0.0565</v>
      </c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43" t="s">
        <v>318</v>
      </c>
      <c r="C32" s="144">
        <v>1.0</v>
      </c>
      <c r="D32" s="144">
        <v>1.0</v>
      </c>
      <c r="E32" s="144">
        <v>1.0</v>
      </c>
      <c r="F32" s="143">
        <v>1.0</v>
      </c>
      <c r="G32" s="143">
        <v>1000.0</v>
      </c>
      <c r="H32" s="143">
        <v>2.05</v>
      </c>
      <c r="I32" s="144">
        <f t="shared" si="21"/>
        <v>0.00205</v>
      </c>
      <c r="J32" s="144">
        <f t="shared" si="22"/>
        <v>0.00205</v>
      </c>
      <c r="K32" s="144">
        <f t="shared" si="23"/>
        <v>0.00205</v>
      </c>
      <c r="L32" s="144">
        <f t="shared" si="24"/>
        <v>0.00205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43" t="s">
        <v>204</v>
      </c>
      <c r="C33" s="143">
        <v>30.0</v>
      </c>
      <c r="D33" s="143">
        <v>35.0</v>
      </c>
      <c r="E33" s="143">
        <v>40.0</v>
      </c>
      <c r="F33" s="143">
        <v>40.0</v>
      </c>
      <c r="G33" s="143">
        <v>60.0</v>
      </c>
      <c r="H33" s="143">
        <v>1.0</v>
      </c>
      <c r="I33" s="144">
        <f t="shared" si="21"/>
        <v>0.5</v>
      </c>
      <c r="J33" s="144">
        <f t="shared" si="22"/>
        <v>0.5</v>
      </c>
      <c r="K33" s="144">
        <f t="shared" si="23"/>
        <v>0.6666666667</v>
      </c>
      <c r="L33" s="144">
        <f t="shared" si="24"/>
        <v>0.6666666667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45" t="s">
        <v>319</v>
      </c>
      <c r="B34" s="143" t="s">
        <v>206</v>
      </c>
      <c r="C34" s="143">
        <v>12.0</v>
      </c>
      <c r="D34" s="143">
        <v>12.0</v>
      </c>
      <c r="E34" s="143">
        <v>12.0</v>
      </c>
      <c r="F34" s="143">
        <v>12.0</v>
      </c>
      <c r="G34" s="143">
        <v>1000.0</v>
      </c>
      <c r="H34" s="143">
        <v>1.97</v>
      </c>
      <c r="I34" s="144">
        <f t="shared" si="21"/>
        <v>0.02364</v>
      </c>
      <c r="J34" s="144">
        <f t="shared" si="22"/>
        <v>0.02364</v>
      </c>
      <c r="K34" s="144">
        <f t="shared" si="23"/>
        <v>0.02364</v>
      </c>
      <c r="L34" s="144">
        <f t="shared" si="24"/>
        <v>0.02364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45" t="s">
        <v>320</v>
      </c>
      <c r="B35" s="143" t="s">
        <v>208</v>
      </c>
      <c r="C35" s="143">
        <v>12.0</v>
      </c>
      <c r="D35" s="143">
        <v>12.0</v>
      </c>
      <c r="E35" s="143">
        <v>12.0</v>
      </c>
      <c r="F35" s="143">
        <v>12.0</v>
      </c>
      <c r="G35" s="143">
        <v>60.0</v>
      </c>
      <c r="H35" s="143">
        <v>1.0</v>
      </c>
      <c r="I35" s="144">
        <f t="shared" si="21"/>
        <v>0.2</v>
      </c>
      <c r="J35" s="144">
        <f t="shared" si="22"/>
        <v>0.2</v>
      </c>
      <c r="K35" s="144">
        <f t="shared" si="23"/>
        <v>0.2</v>
      </c>
      <c r="L35" s="144">
        <f t="shared" si="24"/>
        <v>0.2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25"/>
      <c r="B36" s="143"/>
      <c r="C36" s="143"/>
      <c r="D36" s="143"/>
      <c r="E36" s="143"/>
      <c r="F36" s="143"/>
      <c r="G36" s="143"/>
      <c r="H36" s="143"/>
      <c r="I36" s="144"/>
      <c r="J36" s="144"/>
      <c r="K36" s="144"/>
      <c r="L36" s="144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241"/>
      <c r="C39" s="241"/>
      <c r="D39" s="241"/>
      <c r="E39" s="241"/>
      <c r="F39" s="241"/>
      <c r="G39" s="241"/>
      <c r="H39" s="241"/>
      <c r="I39" s="147">
        <f t="shared" ref="I39:L39" si="25">SUM(I31:I38)</f>
        <v>0.78219</v>
      </c>
      <c r="J39" s="147">
        <f t="shared" si="25"/>
        <v>0.78219</v>
      </c>
      <c r="K39" s="147">
        <f t="shared" si="25"/>
        <v>0.9488566667</v>
      </c>
      <c r="L39" s="147">
        <f t="shared" si="25"/>
        <v>0.9488566667</v>
      </c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48" t="s">
        <v>322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1.8</v>
      </c>
      <c r="I42" s="149">
        <f t="shared" ref="I42:I51" si="26">(C42*H42)/G42</f>
        <v>1.8</v>
      </c>
      <c r="J42" s="149">
        <f t="shared" ref="J42:J51" si="27">(C42*H42)/G42</f>
        <v>1.8</v>
      </c>
      <c r="K42" s="149">
        <f t="shared" ref="K42:K51" si="28">(E42*H42)/G42</f>
        <v>1.8</v>
      </c>
      <c r="L42" s="149">
        <f t="shared" ref="L42:L51" si="29">(F42*H42)/G42</f>
        <v>1.8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41"/>
      <c r="B43" s="148" t="s">
        <v>323</v>
      </c>
      <c r="C43" s="148">
        <v>1.0</v>
      </c>
      <c r="D43" s="148">
        <v>1.0</v>
      </c>
      <c r="E43" s="148">
        <v>1.0</v>
      </c>
      <c r="F43" s="148">
        <v>1.0</v>
      </c>
      <c r="G43" s="148">
        <v>6.0</v>
      </c>
      <c r="H43" s="148">
        <v>1.0</v>
      </c>
      <c r="I43" s="149">
        <f t="shared" si="26"/>
        <v>0.1666666667</v>
      </c>
      <c r="J43" s="149">
        <f t="shared" si="27"/>
        <v>0.1666666667</v>
      </c>
      <c r="K43" s="149">
        <f t="shared" si="28"/>
        <v>0.1666666667</v>
      </c>
      <c r="L43" s="149">
        <f t="shared" si="29"/>
        <v>0.1666666667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25"/>
      <c r="B44" s="148" t="s">
        <v>324</v>
      </c>
      <c r="C44" s="148">
        <v>1.0</v>
      </c>
      <c r="D44" s="148">
        <v>1.0</v>
      </c>
      <c r="E44" s="148">
        <v>1.0</v>
      </c>
      <c r="F44" s="148">
        <v>0.0</v>
      </c>
      <c r="G44" s="148">
        <v>1.0</v>
      </c>
      <c r="H44" s="148">
        <v>0.9</v>
      </c>
      <c r="I44" s="149">
        <f t="shared" si="26"/>
        <v>0.9</v>
      </c>
      <c r="J44" s="149">
        <f t="shared" si="27"/>
        <v>0.9</v>
      </c>
      <c r="K44" s="149">
        <f t="shared" si="28"/>
        <v>0.9</v>
      </c>
      <c r="L44" s="149">
        <f t="shared" si="29"/>
        <v>0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50" t="s">
        <v>325</v>
      </c>
      <c r="B45" s="148" t="s">
        <v>326</v>
      </c>
      <c r="C45" s="148">
        <v>1.0</v>
      </c>
      <c r="D45" s="148">
        <v>1.0</v>
      </c>
      <c r="E45" s="148">
        <v>1.0</v>
      </c>
      <c r="F45" s="148">
        <v>0.0</v>
      </c>
      <c r="G45" s="148">
        <v>1.0</v>
      </c>
      <c r="H45" s="148">
        <v>2.0</v>
      </c>
      <c r="I45" s="149">
        <f t="shared" si="26"/>
        <v>2</v>
      </c>
      <c r="J45" s="149">
        <f t="shared" si="27"/>
        <v>2</v>
      </c>
      <c r="K45" s="149">
        <f t="shared" si="28"/>
        <v>2</v>
      </c>
      <c r="L45" s="149">
        <f t="shared" si="29"/>
        <v>0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25"/>
      <c r="B46" s="148" t="s">
        <v>327</v>
      </c>
      <c r="C46" s="148">
        <v>1.0</v>
      </c>
      <c r="D46" s="148">
        <v>1.0</v>
      </c>
      <c r="E46" s="148">
        <v>1.0</v>
      </c>
      <c r="F46" s="148">
        <v>1.0</v>
      </c>
      <c r="G46" s="148">
        <v>500.0</v>
      </c>
      <c r="H46" s="148">
        <v>0.85</v>
      </c>
      <c r="I46" s="149">
        <f t="shared" si="26"/>
        <v>0.0017</v>
      </c>
      <c r="J46" s="149">
        <f t="shared" si="27"/>
        <v>0.0017</v>
      </c>
      <c r="K46" s="149">
        <f t="shared" si="28"/>
        <v>0.0017</v>
      </c>
      <c r="L46" s="149">
        <f t="shared" si="29"/>
        <v>0.0017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48" t="s">
        <v>328</v>
      </c>
      <c r="C47" s="148">
        <v>2.0</v>
      </c>
      <c r="D47" s="148">
        <v>2.0</v>
      </c>
      <c r="E47" s="148">
        <v>2.0</v>
      </c>
      <c r="F47" s="148">
        <v>1.0</v>
      </c>
      <c r="G47" s="148">
        <v>2.0</v>
      </c>
      <c r="H47" s="148">
        <v>0.18</v>
      </c>
      <c r="I47" s="149">
        <f t="shared" si="26"/>
        <v>0.18</v>
      </c>
      <c r="J47" s="149">
        <f t="shared" si="27"/>
        <v>0.18</v>
      </c>
      <c r="K47" s="149">
        <f t="shared" si="28"/>
        <v>0.18</v>
      </c>
      <c r="L47" s="149">
        <f t="shared" si="29"/>
        <v>0.09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48" t="s">
        <v>351</v>
      </c>
      <c r="C48" s="148">
        <v>0.0</v>
      </c>
      <c r="D48" s="148">
        <v>0.0</v>
      </c>
      <c r="E48" s="148">
        <v>0.0</v>
      </c>
      <c r="F48" s="148">
        <v>1.0</v>
      </c>
      <c r="G48" s="148">
        <v>1.0</v>
      </c>
      <c r="H48" s="148">
        <v>0.9</v>
      </c>
      <c r="I48" s="149">
        <f t="shared" si="26"/>
        <v>0</v>
      </c>
      <c r="J48" s="149">
        <f t="shared" si="27"/>
        <v>0</v>
      </c>
      <c r="K48" s="149">
        <f t="shared" si="28"/>
        <v>0</v>
      </c>
      <c r="L48" s="149">
        <f t="shared" si="29"/>
        <v>0.9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48" t="s">
        <v>352</v>
      </c>
      <c r="C49" s="148">
        <v>0.0</v>
      </c>
      <c r="D49" s="148">
        <v>0.0</v>
      </c>
      <c r="E49" s="148">
        <v>0.0</v>
      </c>
      <c r="F49" s="148">
        <v>1.0</v>
      </c>
      <c r="G49" s="148">
        <v>1.0</v>
      </c>
      <c r="H49" s="148">
        <v>2.0</v>
      </c>
      <c r="I49" s="149">
        <f t="shared" si="26"/>
        <v>0</v>
      </c>
      <c r="J49" s="149">
        <f t="shared" si="27"/>
        <v>0</v>
      </c>
      <c r="K49" s="149">
        <f t="shared" si="28"/>
        <v>0</v>
      </c>
      <c r="L49" s="149">
        <f t="shared" si="29"/>
        <v>2</v>
      </c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48" t="s">
        <v>329</v>
      </c>
      <c r="C50" s="148">
        <v>10.0</v>
      </c>
      <c r="D50" s="148">
        <v>10.0</v>
      </c>
      <c r="E50" s="148">
        <v>10.0</v>
      </c>
      <c r="F50" s="148">
        <v>12.0</v>
      </c>
      <c r="G50" s="148">
        <v>100.0</v>
      </c>
      <c r="H50" s="148">
        <v>6.0</v>
      </c>
      <c r="I50" s="149">
        <f t="shared" si="26"/>
        <v>0.6</v>
      </c>
      <c r="J50" s="149">
        <f t="shared" si="27"/>
        <v>0.6</v>
      </c>
      <c r="K50" s="149">
        <f t="shared" si="28"/>
        <v>0.6</v>
      </c>
      <c r="L50" s="149">
        <f t="shared" si="29"/>
        <v>0.72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48" t="s">
        <v>330</v>
      </c>
      <c r="C51" s="148">
        <v>3.0</v>
      </c>
      <c r="D51" s="148">
        <v>3.0</v>
      </c>
      <c r="E51" s="148">
        <v>3.0</v>
      </c>
      <c r="F51" s="148">
        <v>3.0</v>
      </c>
      <c r="G51" s="148">
        <v>10.0</v>
      </c>
      <c r="H51" s="148">
        <v>10.0</v>
      </c>
      <c r="I51" s="149">
        <f t="shared" si="26"/>
        <v>3</v>
      </c>
      <c r="J51" s="149">
        <f t="shared" si="27"/>
        <v>3</v>
      </c>
      <c r="K51" s="149">
        <f t="shared" si="28"/>
        <v>3</v>
      </c>
      <c r="L51" s="149">
        <f t="shared" si="29"/>
        <v>3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25"/>
      <c r="C52" s="125"/>
      <c r="D52" s="125"/>
      <c r="E52" s="125"/>
      <c r="F52" s="125"/>
      <c r="G52" s="125"/>
      <c r="H52" s="125"/>
      <c r="I52" s="151">
        <f t="shared" ref="I52:L52" si="30">SUM(I42:I51)</f>
        <v>8.648366667</v>
      </c>
      <c r="J52" s="151">
        <f t="shared" si="30"/>
        <v>8.648366667</v>
      </c>
      <c r="K52" s="151">
        <f t="shared" si="30"/>
        <v>8.648366667</v>
      </c>
      <c r="L52" s="151">
        <f t="shared" si="30"/>
        <v>8.678366667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5"/>
      <c r="C55" s="125"/>
      <c r="D55" s="125"/>
      <c r="E55" s="125"/>
      <c r="F55" s="125"/>
      <c r="G55" s="125"/>
      <c r="H55" s="141" t="s">
        <v>270</v>
      </c>
      <c r="I55" s="242">
        <f t="shared" ref="I55:L55" si="31">SUM(I11+I16+I23+I29+I39+I52)</f>
        <v>24.77330808</v>
      </c>
      <c r="J55" s="242">
        <f t="shared" si="31"/>
        <v>28.15767701</v>
      </c>
      <c r="K55" s="242">
        <f t="shared" si="31"/>
        <v>30.5487674</v>
      </c>
      <c r="L55" s="242">
        <f t="shared" si="31"/>
        <v>37.54931891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/>
      <c r="D56" s="125"/>
      <c r="E56" s="125"/>
      <c r="F56" s="125"/>
      <c r="G56" s="125"/>
      <c r="H56" s="141" t="s">
        <v>452</v>
      </c>
      <c r="I56" s="243">
        <v>45.0</v>
      </c>
      <c r="J56" s="243">
        <v>50.0</v>
      </c>
      <c r="K56" s="243">
        <v>55.0</v>
      </c>
      <c r="L56" s="243">
        <v>65.0</v>
      </c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5"/>
      <c r="C57" s="125"/>
      <c r="D57" s="125"/>
      <c r="E57" s="125"/>
      <c r="F57" s="125"/>
      <c r="G57" s="125"/>
      <c r="H57" s="141" t="s">
        <v>10</v>
      </c>
      <c r="I57" s="244">
        <f t="shared" ref="I57:L57" si="32">(I56-I55)</f>
        <v>20.22669192</v>
      </c>
      <c r="J57" s="244">
        <f t="shared" si="32"/>
        <v>21.84232299</v>
      </c>
      <c r="K57" s="244">
        <f t="shared" si="32"/>
        <v>24.4512326</v>
      </c>
      <c r="L57" s="244">
        <f t="shared" si="32"/>
        <v>27.45068109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125"/>
      <c r="D58" s="125"/>
      <c r="E58" s="125"/>
      <c r="F58" s="125"/>
      <c r="G58" s="125"/>
      <c r="H58" s="245"/>
      <c r="I58" s="181"/>
      <c r="J58" s="181"/>
      <c r="K58" s="181"/>
      <c r="L58" s="181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5"/>
      <c r="C59" s="125"/>
      <c r="D59" s="125"/>
      <c r="E59" s="125"/>
      <c r="F59" s="125"/>
      <c r="G59" s="125"/>
      <c r="H59" s="245"/>
      <c r="I59" s="245"/>
      <c r="J59" s="245"/>
      <c r="K59" s="245"/>
      <c r="L59" s="24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5"/>
      <c r="C60" s="125"/>
      <c r="D60" s="125"/>
      <c r="E60" s="125"/>
      <c r="F60" s="125"/>
      <c r="G60" s="125"/>
      <c r="H60" s="141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5"/>
      <c r="C61" s="125"/>
      <c r="D61" s="125"/>
      <c r="E61" s="125"/>
      <c r="F61" s="125"/>
      <c r="G61" s="125"/>
      <c r="H61" s="141"/>
      <c r="I61" s="141"/>
      <c r="J61" s="141"/>
      <c r="K61" s="141"/>
      <c r="L61" s="141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5"/>
      <c r="C63" s="125"/>
      <c r="D63" s="125"/>
      <c r="E63" s="125"/>
      <c r="F63" s="125"/>
      <c r="G63" s="125"/>
      <c r="H63" s="181"/>
      <c r="I63" s="180"/>
      <c r="J63" s="180"/>
      <c r="K63" s="180"/>
      <c r="L63" s="180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9" max="12" width="13.38"/>
  </cols>
  <sheetData>
    <row r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5"/>
      <c r="C3" s="141" t="s">
        <v>443</v>
      </c>
      <c r="D3" s="141" t="s">
        <v>444</v>
      </c>
      <c r="E3" s="141" t="s">
        <v>445</v>
      </c>
      <c r="F3" s="141" t="s">
        <v>446</v>
      </c>
      <c r="G3" s="125"/>
      <c r="H3" s="125"/>
      <c r="I3" s="141" t="s">
        <v>443</v>
      </c>
      <c r="J3" s="141" t="s">
        <v>444</v>
      </c>
      <c r="K3" s="141" t="s">
        <v>445</v>
      </c>
      <c r="L3" s="141" t="s">
        <v>446</v>
      </c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14" t="s">
        <v>193</v>
      </c>
      <c r="C4" s="113" t="s">
        <v>297</v>
      </c>
      <c r="D4" s="113" t="s">
        <v>447</v>
      </c>
      <c r="E4" s="113" t="s">
        <v>448</v>
      </c>
      <c r="F4" s="113" t="s">
        <v>449</v>
      </c>
      <c r="G4" s="113" t="s">
        <v>247</v>
      </c>
      <c r="H4" s="113" t="s">
        <v>248</v>
      </c>
      <c r="I4" s="113" t="s">
        <v>297</v>
      </c>
      <c r="J4" s="113" t="s">
        <v>447</v>
      </c>
      <c r="K4" s="113" t="s">
        <v>448</v>
      </c>
      <c r="L4" s="113" t="s">
        <v>449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62"/>
      <c r="B5" s="160" t="s">
        <v>205</v>
      </c>
      <c r="C5" s="161">
        <v>140.0</v>
      </c>
      <c r="D5" s="161">
        <v>180.0</v>
      </c>
      <c r="E5" s="161">
        <v>240.0</v>
      </c>
      <c r="F5" s="161">
        <v>270.0</v>
      </c>
      <c r="G5" s="160">
        <v>1000.0</v>
      </c>
      <c r="H5" s="162">
        <v>1.07</v>
      </c>
      <c r="I5" s="163">
        <f t="shared" ref="I5:I10" si="1">(C5*H5)/G5</f>
        <v>0.1498</v>
      </c>
      <c r="J5" s="164">
        <f t="shared" ref="J5:J10" si="2">(D5*H5)/G5</f>
        <v>0.1926</v>
      </c>
      <c r="K5" s="164">
        <f t="shared" ref="K5:K10" si="3">(E5*H5)/G5</f>
        <v>0.2568</v>
      </c>
      <c r="L5" s="164">
        <f t="shared" ref="L5:L10" si="4">(F5*H5)/G5</f>
        <v>0.2889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165" t="s">
        <v>342</v>
      </c>
      <c r="B6" s="160" t="s">
        <v>203</v>
      </c>
      <c r="C6" s="160">
        <v>5.0</v>
      </c>
      <c r="D6" s="161">
        <v>6.0</v>
      </c>
      <c r="E6" s="161">
        <v>8.0</v>
      </c>
      <c r="F6" s="161">
        <v>9.0</v>
      </c>
      <c r="G6" s="160">
        <v>12.0</v>
      </c>
      <c r="H6" s="162">
        <v>2.5</v>
      </c>
      <c r="I6" s="163">
        <f t="shared" si="1"/>
        <v>1.041666667</v>
      </c>
      <c r="J6" s="164">
        <f t="shared" si="2"/>
        <v>1.25</v>
      </c>
      <c r="K6" s="164">
        <f t="shared" si="3"/>
        <v>1.666666667</v>
      </c>
      <c r="L6" s="164">
        <f t="shared" si="4"/>
        <v>1.875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65" t="s">
        <v>306</v>
      </c>
      <c r="B7" s="160" t="s">
        <v>304</v>
      </c>
      <c r="C7" s="160">
        <v>150.0</v>
      </c>
      <c r="D7" s="161">
        <v>180.0</v>
      </c>
      <c r="E7" s="161">
        <v>240.0</v>
      </c>
      <c r="F7" s="161">
        <v>270.0</v>
      </c>
      <c r="G7" s="160">
        <v>1000.0</v>
      </c>
      <c r="H7" s="162">
        <v>1.49</v>
      </c>
      <c r="I7" s="163">
        <f t="shared" si="1"/>
        <v>0.2235</v>
      </c>
      <c r="J7" s="164">
        <f t="shared" si="2"/>
        <v>0.2682</v>
      </c>
      <c r="K7" s="164">
        <f t="shared" si="3"/>
        <v>0.3576</v>
      </c>
      <c r="L7" s="164">
        <f t="shared" si="4"/>
        <v>0.4023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62"/>
      <c r="B8" s="160" t="s">
        <v>207</v>
      </c>
      <c r="C8" s="161">
        <v>5.0</v>
      </c>
      <c r="D8" s="161">
        <v>10.0</v>
      </c>
      <c r="E8" s="161">
        <v>10.0</v>
      </c>
      <c r="F8" s="161">
        <v>15.0</v>
      </c>
      <c r="G8" s="161">
        <v>236.0</v>
      </c>
      <c r="H8" s="162">
        <v>6.9</v>
      </c>
      <c r="I8" s="163">
        <f t="shared" si="1"/>
        <v>0.1461864407</v>
      </c>
      <c r="J8" s="164">
        <f t="shared" si="2"/>
        <v>0.2923728814</v>
      </c>
      <c r="K8" s="164">
        <f t="shared" si="3"/>
        <v>0.2923728814</v>
      </c>
      <c r="L8" s="164">
        <f t="shared" si="4"/>
        <v>0.438559322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33"/>
      <c r="B9" s="166" t="s">
        <v>274</v>
      </c>
      <c r="C9" s="166">
        <v>30.0</v>
      </c>
      <c r="D9" s="166">
        <v>40.0</v>
      </c>
      <c r="E9" s="166">
        <v>50.0</v>
      </c>
      <c r="F9" s="166">
        <v>60.0</v>
      </c>
      <c r="G9" s="166">
        <v>250.0</v>
      </c>
      <c r="H9" s="167">
        <v>6.0</v>
      </c>
      <c r="I9" s="163">
        <f t="shared" si="1"/>
        <v>0.72</v>
      </c>
      <c r="J9" s="164">
        <f t="shared" si="2"/>
        <v>0.96</v>
      </c>
      <c r="K9" s="164">
        <f t="shared" si="3"/>
        <v>1.2</v>
      </c>
      <c r="L9" s="164">
        <f t="shared" si="4"/>
        <v>1.44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33"/>
      <c r="B10" s="166" t="s">
        <v>244</v>
      </c>
      <c r="C10" s="166">
        <v>20.0</v>
      </c>
      <c r="D10" s="166">
        <v>30.0</v>
      </c>
      <c r="E10" s="166">
        <v>40.0</v>
      </c>
      <c r="F10" s="166">
        <v>40.0</v>
      </c>
      <c r="G10" s="166">
        <v>400.0</v>
      </c>
      <c r="H10" s="167">
        <v>2.99</v>
      </c>
      <c r="I10" s="163">
        <f t="shared" si="1"/>
        <v>0.1495</v>
      </c>
      <c r="J10" s="164">
        <f t="shared" si="2"/>
        <v>0.22425</v>
      </c>
      <c r="K10" s="164">
        <f t="shared" si="3"/>
        <v>0.299</v>
      </c>
      <c r="L10" s="164">
        <f t="shared" si="4"/>
        <v>0.299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33"/>
      <c r="B11" s="77"/>
      <c r="C11" s="77"/>
      <c r="D11" s="77"/>
      <c r="E11" s="77"/>
      <c r="F11" s="77"/>
      <c r="G11" s="77"/>
      <c r="H11" s="168"/>
      <c r="I11" s="169">
        <f t="shared" ref="I11:L11" si="5">SUM(I5:I10)</f>
        <v>2.430653107</v>
      </c>
      <c r="J11" s="170">
        <f t="shared" si="5"/>
        <v>3.187422881</v>
      </c>
      <c r="K11" s="170">
        <f t="shared" si="5"/>
        <v>4.072439548</v>
      </c>
      <c r="L11" s="170">
        <f t="shared" si="5"/>
        <v>4.743759322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6" t="s">
        <v>304</v>
      </c>
      <c r="C13" s="126">
        <v>100.0</v>
      </c>
      <c r="D13" s="126">
        <v>150.0</v>
      </c>
      <c r="E13" s="126">
        <v>200.0</v>
      </c>
      <c r="F13" s="126">
        <v>250.0</v>
      </c>
      <c r="G13" s="126">
        <v>1000.0</v>
      </c>
      <c r="H13" s="126">
        <v>1.49</v>
      </c>
      <c r="I13" s="127">
        <f t="shared" ref="I13:I15" si="6">(C13*H13)/G13</f>
        <v>0.149</v>
      </c>
      <c r="J13" s="127">
        <f t="shared" ref="J13:J15" si="7">(D13*H13)/G13</f>
        <v>0.2235</v>
      </c>
      <c r="K13" s="127">
        <f t="shared" ref="K13:K15" si="8">(E13*H13)/G13</f>
        <v>0.298</v>
      </c>
      <c r="L13" s="239">
        <f>(F13*H5)/G5</f>
        <v>0.2675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9" t="s">
        <v>305</v>
      </c>
      <c r="B14" s="126" t="s">
        <v>206</v>
      </c>
      <c r="C14" s="126">
        <v>100.0</v>
      </c>
      <c r="D14" s="126">
        <v>150.0</v>
      </c>
      <c r="E14" s="126">
        <v>200.0</v>
      </c>
      <c r="F14" s="126">
        <v>250.0</v>
      </c>
      <c r="G14" s="126">
        <v>1000.0</v>
      </c>
      <c r="H14" s="126">
        <v>0.25</v>
      </c>
      <c r="I14" s="127">
        <f t="shared" si="6"/>
        <v>0.025</v>
      </c>
      <c r="J14" s="127">
        <f t="shared" si="7"/>
        <v>0.0375</v>
      </c>
      <c r="K14" s="127">
        <f t="shared" si="8"/>
        <v>0.05</v>
      </c>
      <c r="L14" s="127">
        <f t="shared" ref="L14:L15" si="9">(F14*H14)/G14</f>
        <v>0.0625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5"/>
      <c r="B15" s="126" t="s">
        <v>207</v>
      </c>
      <c r="C15" s="126">
        <v>3.0</v>
      </c>
      <c r="D15" s="126">
        <v>5.0</v>
      </c>
      <c r="E15" s="126">
        <v>9.0</v>
      </c>
      <c r="F15" s="126">
        <v>11.0</v>
      </c>
      <c r="G15" s="126">
        <v>236.0</v>
      </c>
      <c r="H15" s="126">
        <v>6.9</v>
      </c>
      <c r="I15" s="127">
        <f t="shared" si="6"/>
        <v>0.08771186441</v>
      </c>
      <c r="J15" s="127">
        <f t="shared" si="7"/>
        <v>0.1461864407</v>
      </c>
      <c r="K15" s="127">
        <f t="shared" si="8"/>
        <v>0.2631355932</v>
      </c>
      <c r="L15" s="127">
        <f t="shared" si="9"/>
        <v>0.3216101695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5"/>
      <c r="C16" s="125"/>
      <c r="D16" s="125"/>
      <c r="E16" s="125"/>
      <c r="F16" s="125"/>
      <c r="G16" s="125"/>
      <c r="H16" s="125"/>
      <c r="I16" s="130">
        <f t="shared" ref="I16:L16" si="10">SUM(I13:I15)</f>
        <v>0.2617118644</v>
      </c>
      <c r="J16" s="130">
        <f t="shared" si="10"/>
        <v>0.4071864407</v>
      </c>
      <c r="K16" s="130">
        <f t="shared" si="10"/>
        <v>0.6111355932</v>
      </c>
      <c r="L16" s="240">
        <f t="shared" si="10"/>
        <v>0.6516101695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71" t="s">
        <v>308</v>
      </c>
      <c r="C18" s="171">
        <v>300.0</v>
      </c>
      <c r="D18" s="171">
        <v>400.0</v>
      </c>
      <c r="E18" s="171">
        <v>500.0</v>
      </c>
      <c r="F18" s="171">
        <v>600.0</v>
      </c>
      <c r="G18" s="171">
        <v>600.0</v>
      </c>
      <c r="H18" s="171">
        <v>2.36</v>
      </c>
      <c r="I18" s="172">
        <f t="shared" ref="I18:I22" si="11">(C18*H18)/G18</f>
        <v>1.18</v>
      </c>
      <c r="J18" s="172">
        <f t="shared" ref="J18:J22" si="12">(D18*H18)/G18</f>
        <v>1.573333333</v>
      </c>
      <c r="K18" s="172">
        <f t="shared" ref="K18:K22" si="13">(E18*H18)/G18</f>
        <v>1.966666667</v>
      </c>
      <c r="L18" s="172">
        <f t="shared" ref="L18:L22" si="14">(F18*H18)/G18</f>
        <v>2.36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50" t="s">
        <v>344</v>
      </c>
      <c r="B19" s="171" t="s">
        <v>345</v>
      </c>
      <c r="C19" s="171">
        <v>100.0</v>
      </c>
      <c r="D19" s="171">
        <v>150.0</v>
      </c>
      <c r="E19" s="171">
        <v>200.0</v>
      </c>
      <c r="F19" s="171">
        <v>200.0</v>
      </c>
      <c r="G19" s="171">
        <v>250.0</v>
      </c>
      <c r="H19" s="171">
        <v>2.0</v>
      </c>
      <c r="I19" s="172">
        <f t="shared" si="11"/>
        <v>0.8</v>
      </c>
      <c r="J19" s="172">
        <f t="shared" si="12"/>
        <v>1.2</v>
      </c>
      <c r="K19" s="172">
        <f t="shared" si="13"/>
        <v>1.6</v>
      </c>
      <c r="L19" s="172">
        <f t="shared" si="14"/>
        <v>1.6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50" t="s">
        <v>450</v>
      </c>
      <c r="B20" s="171" t="s">
        <v>451</v>
      </c>
      <c r="C20" s="171">
        <v>108.0</v>
      </c>
      <c r="D20" s="171">
        <v>108.0</v>
      </c>
      <c r="E20" s="171">
        <v>108.0</v>
      </c>
      <c r="F20" s="171">
        <v>150.0</v>
      </c>
      <c r="G20" s="171">
        <v>108.0</v>
      </c>
      <c r="H20" s="171">
        <v>2.99</v>
      </c>
      <c r="I20" s="172">
        <f t="shared" si="11"/>
        <v>2.99</v>
      </c>
      <c r="J20" s="172">
        <f t="shared" si="12"/>
        <v>2.99</v>
      </c>
      <c r="K20" s="172">
        <f t="shared" si="13"/>
        <v>2.99</v>
      </c>
      <c r="L20" s="172">
        <f t="shared" si="14"/>
        <v>4.152777778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50"/>
      <c r="B21" s="171" t="s">
        <v>348</v>
      </c>
      <c r="C21" s="171">
        <v>80.0</v>
      </c>
      <c r="D21" s="171">
        <v>90.0</v>
      </c>
      <c r="E21" s="171">
        <v>100.0</v>
      </c>
      <c r="F21" s="171">
        <v>120.0</v>
      </c>
      <c r="G21" s="171">
        <v>1000.0</v>
      </c>
      <c r="H21" s="171">
        <v>1.49</v>
      </c>
      <c r="I21" s="172">
        <f t="shared" si="11"/>
        <v>0.1192</v>
      </c>
      <c r="J21" s="172">
        <f t="shared" si="12"/>
        <v>0.1341</v>
      </c>
      <c r="K21" s="172">
        <f t="shared" si="13"/>
        <v>0.149</v>
      </c>
      <c r="L21" s="172">
        <f t="shared" si="14"/>
        <v>0.1788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25"/>
      <c r="B22" s="171" t="s">
        <v>207</v>
      </c>
      <c r="C22" s="171">
        <v>5.0</v>
      </c>
      <c r="D22" s="171">
        <v>7.0</v>
      </c>
      <c r="E22" s="171">
        <v>9.0</v>
      </c>
      <c r="F22" s="171">
        <v>8.0</v>
      </c>
      <c r="G22" s="171">
        <v>236.0</v>
      </c>
      <c r="H22" s="171">
        <v>6.9</v>
      </c>
      <c r="I22" s="172">
        <f t="shared" si="11"/>
        <v>0.1461864407</v>
      </c>
      <c r="J22" s="172">
        <f t="shared" si="12"/>
        <v>0.2046610169</v>
      </c>
      <c r="K22" s="172">
        <f t="shared" si="13"/>
        <v>0.2631355932</v>
      </c>
      <c r="L22" s="172">
        <f t="shared" si="14"/>
        <v>0.2338983051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25"/>
      <c r="C23" s="125"/>
      <c r="D23" s="125"/>
      <c r="E23" s="125"/>
      <c r="F23" s="125"/>
      <c r="G23" s="125"/>
      <c r="H23" s="125"/>
      <c r="I23" s="173">
        <f t="shared" ref="I23:L23" si="15">SUM(I18:I22)</f>
        <v>5.235386441</v>
      </c>
      <c r="J23" s="173">
        <f t="shared" si="15"/>
        <v>6.10209435</v>
      </c>
      <c r="K23" s="173">
        <f t="shared" si="15"/>
        <v>6.96880226</v>
      </c>
      <c r="L23" s="173">
        <f t="shared" si="15"/>
        <v>8.525476083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38" t="s">
        <v>311</v>
      </c>
      <c r="B25" s="139" t="s">
        <v>308</v>
      </c>
      <c r="C25" s="139">
        <v>150.0</v>
      </c>
      <c r="D25" s="139">
        <v>200.0</v>
      </c>
      <c r="E25" s="139">
        <v>200.0</v>
      </c>
      <c r="F25" s="139">
        <v>450.0</v>
      </c>
      <c r="G25" s="139">
        <v>600.0</v>
      </c>
      <c r="H25" s="139">
        <v>2.36</v>
      </c>
      <c r="I25" s="140">
        <f t="shared" ref="I25:I28" si="16">(C25*H25)/G25</f>
        <v>0.59</v>
      </c>
      <c r="J25" s="140">
        <f t="shared" ref="J25:J28" si="17">(D25*H25)/G25</f>
        <v>0.7866666667</v>
      </c>
      <c r="K25" s="140">
        <f t="shared" ref="K25:K28" si="18">(E25*H25)/G25</f>
        <v>0.7866666667</v>
      </c>
      <c r="L25" s="140">
        <f t="shared" ref="L25:L28" si="19">(F25*H25)/G25</f>
        <v>1.77</v>
      </c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38" t="s">
        <v>349</v>
      </c>
      <c r="B26" s="139" t="s">
        <v>306</v>
      </c>
      <c r="C26" s="139">
        <v>500.0</v>
      </c>
      <c r="D26" s="139">
        <v>600.0</v>
      </c>
      <c r="E26" s="139">
        <v>600.0</v>
      </c>
      <c r="F26" s="139">
        <v>900.0</v>
      </c>
      <c r="G26" s="139">
        <v>100.0</v>
      </c>
      <c r="H26" s="139">
        <v>1.15</v>
      </c>
      <c r="I26" s="140">
        <f t="shared" si="16"/>
        <v>5.75</v>
      </c>
      <c r="J26" s="140">
        <f t="shared" si="17"/>
        <v>6.9</v>
      </c>
      <c r="K26" s="140">
        <f t="shared" si="18"/>
        <v>6.9</v>
      </c>
      <c r="L26" s="140">
        <f t="shared" si="19"/>
        <v>10.35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38" t="s">
        <v>109</v>
      </c>
      <c r="B27" s="139" t="s">
        <v>451</v>
      </c>
      <c r="C27" s="139">
        <v>0.0</v>
      </c>
      <c r="D27" s="139">
        <v>0.0</v>
      </c>
      <c r="E27" s="139">
        <v>0.0</v>
      </c>
      <c r="F27" s="139">
        <v>0.0</v>
      </c>
      <c r="G27" s="139">
        <v>100.0</v>
      </c>
      <c r="H27" s="139">
        <v>1.79</v>
      </c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41"/>
      <c r="B28" s="139" t="s">
        <v>294</v>
      </c>
      <c r="C28" s="139">
        <v>200.0</v>
      </c>
      <c r="D28" s="139">
        <v>250.0</v>
      </c>
      <c r="E28" s="139">
        <v>300.0</v>
      </c>
      <c r="F28" s="139">
        <v>350.0</v>
      </c>
      <c r="G28" s="139">
        <v>2000.0</v>
      </c>
      <c r="H28" s="139">
        <v>10.75</v>
      </c>
      <c r="I28" s="140">
        <f t="shared" si="16"/>
        <v>1.075</v>
      </c>
      <c r="J28" s="140">
        <f t="shared" si="17"/>
        <v>1.34375</v>
      </c>
      <c r="K28" s="140">
        <f t="shared" si="18"/>
        <v>1.6125</v>
      </c>
      <c r="L28" s="140">
        <f t="shared" si="19"/>
        <v>1.88125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25"/>
      <c r="B29" s="125"/>
      <c r="C29" s="125"/>
      <c r="D29" s="125"/>
      <c r="E29" s="125"/>
      <c r="F29" s="125"/>
      <c r="G29" s="125"/>
      <c r="H29" s="125"/>
      <c r="I29" s="142">
        <f t="shared" ref="I29:L29" si="20">SUM(I25:I28)</f>
        <v>7.415</v>
      </c>
      <c r="J29" s="142">
        <f t="shared" si="20"/>
        <v>9.030416667</v>
      </c>
      <c r="K29" s="142">
        <f t="shared" si="20"/>
        <v>9.299166667</v>
      </c>
      <c r="L29" s="142">
        <f t="shared" si="20"/>
        <v>14.00125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43" t="s">
        <v>317</v>
      </c>
      <c r="C31" s="144">
        <v>1.0</v>
      </c>
      <c r="D31" s="144">
        <v>1.0</v>
      </c>
      <c r="E31" s="144">
        <v>1.0</v>
      </c>
      <c r="F31" s="143">
        <v>1.0</v>
      </c>
      <c r="G31" s="143">
        <v>20.0</v>
      </c>
      <c r="H31" s="143">
        <v>1.13</v>
      </c>
      <c r="I31" s="144">
        <f t="shared" ref="I31:I35" si="21">(C31*H31)/G31</f>
        <v>0.0565</v>
      </c>
      <c r="J31" s="144">
        <f t="shared" ref="J31:J35" si="22">(C31*H31)/G31</f>
        <v>0.0565</v>
      </c>
      <c r="K31" s="144">
        <f t="shared" ref="K31:K35" si="23">(E31*H31)/G31</f>
        <v>0.0565</v>
      </c>
      <c r="L31" s="144">
        <f t="shared" ref="L31:L35" si="24">(F31*H31)/G31</f>
        <v>0.0565</v>
      </c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43" t="s">
        <v>318</v>
      </c>
      <c r="C32" s="144">
        <v>1.0</v>
      </c>
      <c r="D32" s="144">
        <v>1.0</v>
      </c>
      <c r="E32" s="144">
        <v>1.0</v>
      </c>
      <c r="F32" s="143">
        <v>1.0</v>
      </c>
      <c r="G32" s="143">
        <v>1000.0</v>
      </c>
      <c r="H32" s="143">
        <v>2.05</v>
      </c>
      <c r="I32" s="144">
        <f t="shared" si="21"/>
        <v>0.00205</v>
      </c>
      <c r="J32" s="144">
        <f t="shared" si="22"/>
        <v>0.00205</v>
      </c>
      <c r="K32" s="144">
        <f t="shared" si="23"/>
        <v>0.00205</v>
      </c>
      <c r="L32" s="144">
        <f t="shared" si="24"/>
        <v>0.00205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43" t="s">
        <v>204</v>
      </c>
      <c r="C33" s="143">
        <v>30.0</v>
      </c>
      <c r="D33" s="143">
        <v>35.0</v>
      </c>
      <c r="E33" s="143">
        <v>40.0</v>
      </c>
      <c r="F33" s="143">
        <v>40.0</v>
      </c>
      <c r="G33" s="143">
        <v>60.0</v>
      </c>
      <c r="H33" s="143">
        <v>1.0</v>
      </c>
      <c r="I33" s="144">
        <f t="shared" si="21"/>
        <v>0.5</v>
      </c>
      <c r="J33" s="144">
        <f t="shared" si="22"/>
        <v>0.5</v>
      </c>
      <c r="K33" s="144">
        <f t="shared" si="23"/>
        <v>0.6666666667</v>
      </c>
      <c r="L33" s="144">
        <f t="shared" si="24"/>
        <v>0.6666666667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45" t="s">
        <v>319</v>
      </c>
      <c r="B34" s="143" t="s">
        <v>206</v>
      </c>
      <c r="C34" s="143">
        <v>12.0</v>
      </c>
      <c r="D34" s="143">
        <v>12.0</v>
      </c>
      <c r="E34" s="143">
        <v>12.0</v>
      </c>
      <c r="F34" s="143">
        <v>12.0</v>
      </c>
      <c r="G34" s="143">
        <v>1000.0</v>
      </c>
      <c r="H34" s="143">
        <v>1.97</v>
      </c>
      <c r="I34" s="144">
        <f t="shared" si="21"/>
        <v>0.02364</v>
      </c>
      <c r="J34" s="144">
        <f t="shared" si="22"/>
        <v>0.02364</v>
      </c>
      <c r="K34" s="144">
        <f t="shared" si="23"/>
        <v>0.02364</v>
      </c>
      <c r="L34" s="144">
        <f t="shared" si="24"/>
        <v>0.02364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45" t="s">
        <v>320</v>
      </c>
      <c r="B35" s="143" t="s">
        <v>208</v>
      </c>
      <c r="C35" s="143">
        <v>12.0</v>
      </c>
      <c r="D35" s="143">
        <v>12.0</v>
      </c>
      <c r="E35" s="143">
        <v>12.0</v>
      </c>
      <c r="F35" s="143">
        <v>12.0</v>
      </c>
      <c r="G35" s="143">
        <v>60.0</v>
      </c>
      <c r="H35" s="143">
        <v>1.0</v>
      </c>
      <c r="I35" s="144">
        <f t="shared" si="21"/>
        <v>0.2</v>
      </c>
      <c r="J35" s="144">
        <f t="shared" si="22"/>
        <v>0.2</v>
      </c>
      <c r="K35" s="144">
        <f t="shared" si="23"/>
        <v>0.2</v>
      </c>
      <c r="L35" s="144">
        <f t="shared" si="24"/>
        <v>0.2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25"/>
      <c r="B36" s="143"/>
      <c r="C36" s="143"/>
      <c r="D36" s="143"/>
      <c r="E36" s="143"/>
      <c r="F36" s="143"/>
      <c r="G36" s="143"/>
      <c r="H36" s="143"/>
      <c r="I36" s="144"/>
      <c r="J36" s="144"/>
      <c r="K36" s="144"/>
      <c r="L36" s="144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241"/>
      <c r="C39" s="241"/>
      <c r="D39" s="241"/>
      <c r="E39" s="241"/>
      <c r="F39" s="241"/>
      <c r="G39" s="241"/>
      <c r="H39" s="241"/>
      <c r="I39" s="147">
        <f t="shared" ref="I39:L39" si="25">SUM(I31:I38)</f>
        <v>0.78219</v>
      </c>
      <c r="J39" s="147">
        <f t="shared" si="25"/>
        <v>0.78219</v>
      </c>
      <c r="K39" s="147">
        <f t="shared" si="25"/>
        <v>0.9488566667</v>
      </c>
      <c r="L39" s="147">
        <f t="shared" si="25"/>
        <v>0.9488566667</v>
      </c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48" t="s">
        <v>322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1.8</v>
      </c>
      <c r="I42" s="149">
        <f t="shared" ref="I42:I51" si="26">(C42*H42)/G42</f>
        <v>1.8</v>
      </c>
      <c r="J42" s="149">
        <f t="shared" ref="J42:J51" si="27">(C42*H42)/G42</f>
        <v>1.8</v>
      </c>
      <c r="K42" s="149">
        <f t="shared" ref="K42:K51" si="28">(E42*H42)/G42</f>
        <v>1.8</v>
      </c>
      <c r="L42" s="149">
        <f t="shared" ref="L42:L51" si="29">(F42*H42)/G42</f>
        <v>1.8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41"/>
      <c r="B43" s="148" t="s">
        <v>323</v>
      </c>
      <c r="C43" s="148">
        <v>1.0</v>
      </c>
      <c r="D43" s="148">
        <v>1.0</v>
      </c>
      <c r="E43" s="148">
        <v>1.0</v>
      </c>
      <c r="F43" s="148">
        <v>1.0</v>
      </c>
      <c r="G43" s="148">
        <v>6.0</v>
      </c>
      <c r="H43" s="148">
        <v>1.0</v>
      </c>
      <c r="I43" s="149">
        <f t="shared" si="26"/>
        <v>0.1666666667</v>
      </c>
      <c r="J43" s="149">
        <f t="shared" si="27"/>
        <v>0.1666666667</v>
      </c>
      <c r="K43" s="149">
        <f t="shared" si="28"/>
        <v>0.1666666667</v>
      </c>
      <c r="L43" s="149">
        <f t="shared" si="29"/>
        <v>0.1666666667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25"/>
      <c r="B44" s="148" t="s">
        <v>324</v>
      </c>
      <c r="C44" s="148">
        <v>1.0</v>
      </c>
      <c r="D44" s="148">
        <v>1.0</v>
      </c>
      <c r="E44" s="148">
        <v>1.0</v>
      </c>
      <c r="F44" s="148">
        <v>0.0</v>
      </c>
      <c r="G44" s="148">
        <v>1.0</v>
      </c>
      <c r="H44" s="148">
        <v>0.9</v>
      </c>
      <c r="I44" s="149">
        <f t="shared" si="26"/>
        <v>0.9</v>
      </c>
      <c r="J44" s="149">
        <f t="shared" si="27"/>
        <v>0.9</v>
      </c>
      <c r="K44" s="149">
        <f t="shared" si="28"/>
        <v>0.9</v>
      </c>
      <c r="L44" s="149">
        <f t="shared" si="29"/>
        <v>0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50" t="s">
        <v>325</v>
      </c>
      <c r="B45" s="148" t="s">
        <v>326</v>
      </c>
      <c r="C45" s="148">
        <v>1.0</v>
      </c>
      <c r="D45" s="148">
        <v>1.0</v>
      </c>
      <c r="E45" s="148">
        <v>1.0</v>
      </c>
      <c r="F45" s="148">
        <v>0.0</v>
      </c>
      <c r="G45" s="148">
        <v>1.0</v>
      </c>
      <c r="H45" s="148">
        <v>2.0</v>
      </c>
      <c r="I45" s="149">
        <f t="shared" si="26"/>
        <v>2</v>
      </c>
      <c r="J45" s="149">
        <f t="shared" si="27"/>
        <v>2</v>
      </c>
      <c r="K45" s="149">
        <f t="shared" si="28"/>
        <v>2</v>
      </c>
      <c r="L45" s="149">
        <f t="shared" si="29"/>
        <v>0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25"/>
      <c r="B46" s="148" t="s">
        <v>327</v>
      </c>
      <c r="C46" s="148">
        <v>1.0</v>
      </c>
      <c r="D46" s="148">
        <v>1.0</v>
      </c>
      <c r="E46" s="148">
        <v>1.0</v>
      </c>
      <c r="F46" s="148">
        <v>1.0</v>
      </c>
      <c r="G46" s="148">
        <v>500.0</v>
      </c>
      <c r="H46" s="148">
        <v>0.85</v>
      </c>
      <c r="I46" s="149">
        <f t="shared" si="26"/>
        <v>0.0017</v>
      </c>
      <c r="J46" s="149">
        <f t="shared" si="27"/>
        <v>0.0017</v>
      </c>
      <c r="K46" s="149">
        <f t="shared" si="28"/>
        <v>0.0017</v>
      </c>
      <c r="L46" s="149">
        <f t="shared" si="29"/>
        <v>0.0017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48" t="s">
        <v>328</v>
      </c>
      <c r="C47" s="148">
        <v>2.0</v>
      </c>
      <c r="D47" s="148">
        <v>2.0</v>
      </c>
      <c r="E47" s="148">
        <v>2.0</v>
      </c>
      <c r="F47" s="148">
        <v>1.0</v>
      </c>
      <c r="G47" s="148">
        <v>2.0</v>
      </c>
      <c r="H47" s="148">
        <v>0.18</v>
      </c>
      <c r="I47" s="149">
        <f t="shared" si="26"/>
        <v>0.18</v>
      </c>
      <c r="J47" s="149">
        <f t="shared" si="27"/>
        <v>0.18</v>
      </c>
      <c r="K47" s="149">
        <f t="shared" si="28"/>
        <v>0.18</v>
      </c>
      <c r="L47" s="149">
        <f t="shared" si="29"/>
        <v>0.09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48" t="s">
        <v>351</v>
      </c>
      <c r="C48" s="148">
        <v>0.0</v>
      </c>
      <c r="D48" s="148">
        <v>0.0</v>
      </c>
      <c r="E48" s="148">
        <v>0.0</v>
      </c>
      <c r="F48" s="148">
        <v>1.0</v>
      </c>
      <c r="G48" s="148">
        <v>1.0</v>
      </c>
      <c r="H48" s="148">
        <v>0.9</v>
      </c>
      <c r="I48" s="149">
        <f t="shared" si="26"/>
        <v>0</v>
      </c>
      <c r="J48" s="149">
        <f t="shared" si="27"/>
        <v>0</v>
      </c>
      <c r="K48" s="149">
        <f t="shared" si="28"/>
        <v>0</v>
      </c>
      <c r="L48" s="149">
        <f t="shared" si="29"/>
        <v>0.9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48" t="s">
        <v>352</v>
      </c>
      <c r="C49" s="148">
        <v>0.0</v>
      </c>
      <c r="D49" s="148">
        <v>0.0</v>
      </c>
      <c r="E49" s="148">
        <v>0.0</v>
      </c>
      <c r="F49" s="148">
        <v>1.0</v>
      </c>
      <c r="G49" s="148">
        <v>1.0</v>
      </c>
      <c r="H49" s="148">
        <v>2.0</v>
      </c>
      <c r="I49" s="149">
        <f t="shared" si="26"/>
        <v>0</v>
      </c>
      <c r="J49" s="149">
        <f t="shared" si="27"/>
        <v>0</v>
      </c>
      <c r="K49" s="149">
        <f t="shared" si="28"/>
        <v>0</v>
      </c>
      <c r="L49" s="149">
        <f t="shared" si="29"/>
        <v>2</v>
      </c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48" t="s">
        <v>329</v>
      </c>
      <c r="C50" s="148">
        <v>10.0</v>
      </c>
      <c r="D50" s="148">
        <v>10.0</v>
      </c>
      <c r="E50" s="148">
        <v>10.0</v>
      </c>
      <c r="F50" s="148">
        <v>12.0</v>
      </c>
      <c r="G50" s="148">
        <v>100.0</v>
      </c>
      <c r="H50" s="148">
        <v>6.0</v>
      </c>
      <c r="I50" s="149">
        <f t="shared" si="26"/>
        <v>0.6</v>
      </c>
      <c r="J50" s="149">
        <f t="shared" si="27"/>
        <v>0.6</v>
      </c>
      <c r="K50" s="149">
        <f t="shared" si="28"/>
        <v>0.6</v>
      </c>
      <c r="L50" s="149">
        <f t="shared" si="29"/>
        <v>0.72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48" t="s">
        <v>330</v>
      </c>
      <c r="C51" s="148">
        <v>3.0</v>
      </c>
      <c r="D51" s="148">
        <v>3.0</v>
      </c>
      <c r="E51" s="148">
        <v>3.0</v>
      </c>
      <c r="F51" s="148">
        <v>3.0</v>
      </c>
      <c r="G51" s="148">
        <v>10.0</v>
      </c>
      <c r="H51" s="148">
        <v>10.0</v>
      </c>
      <c r="I51" s="149">
        <f t="shared" si="26"/>
        <v>3</v>
      </c>
      <c r="J51" s="149">
        <f t="shared" si="27"/>
        <v>3</v>
      </c>
      <c r="K51" s="149">
        <f t="shared" si="28"/>
        <v>3</v>
      </c>
      <c r="L51" s="149">
        <f t="shared" si="29"/>
        <v>3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25"/>
      <c r="C52" s="125"/>
      <c r="D52" s="125"/>
      <c r="E52" s="125"/>
      <c r="F52" s="125"/>
      <c r="G52" s="125"/>
      <c r="H52" s="125"/>
      <c r="I52" s="151">
        <f t="shared" ref="I52:L52" si="30">SUM(I42:I51)</f>
        <v>8.648366667</v>
      </c>
      <c r="J52" s="151">
        <f t="shared" si="30"/>
        <v>8.648366667</v>
      </c>
      <c r="K52" s="151">
        <f t="shared" si="30"/>
        <v>8.648366667</v>
      </c>
      <c r="L52" s="151">
        <f t="shared" si="30"/>
        <v>8.678366667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5"/>
      <c r="C55" s="125"/>
      <c r="D55" s="125"/>
      <c r="E55" s="125"/>
      <c r="F55" s="125"/>
      <c r="G55" s="125"/>
      <c r="H55" s="141" t="s">
        <v>270</v>
      </c>
      <c r="I55" s="242">
        <f t="shared" ref="I55:L55" si="31">SUM(I11+I16+I23+I29+I39+I52)</f>
        <v>24.77330808</v>
      </c>
      <c r="J55" s="242">
        <f t="shared" si="31"/>
        <v>28.15767701</v>
      </c>
      <c r="K55" s="242">
        <f t="shared" si="31"/>
        <v>30.5487674</v>
      </c>
      <c r="L55" s="242">
        <f t="shared" si="31"/>
        <v>37.54931891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/>
      <c r="D56" s="125"/>
      <c r="E56" s="125"/>
      <c r="F56" s="125"/>
      <c r="G56" s="125"/>
      <c r="H56" s="141" t="s">
        <v>452</v>
      </c>
      <c r="I56" s="243">
        <v>45.0</v>
      </c>
      <c r="J56" s="243">
        <v>50.0</v>
      </c>
      <c r="K56" s="243">
        <v>55.0</v>
      </c>
      <c r="L56" s="243">
        <v>65.0</v>
      </c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5"/>
      <c r="C57" s="125"/>
      <c r="D57" s="125"/>
      <c r="E57" s="125"/>
      <c r="F57" s="125"/>
      <c r="G57" s="125"/>
      <c r="H57" s="141" t="s">
        <v>10</v>
      </c>
      <c r="I57" s="244">
        <f t="shared" ref="I57:L57" si="32">(I56-I55)</f>
        <v>20.22669192</v>
      </c>
      <c r="J57" s="244">
        <f t="shared" si="32"/>
        <v>21.84232299</v>
      </c>
      <c r="K57" s="244">
        <f t="shared" si="32"/>
        <v>24.4512326</v>
      </c>
      <c r="L57" s="244">
        <f t="shared" si="32"/>
        <v>27.45068109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125"/>
      <c r="D58" s="125"/>
      <c r="E58" s="125"/>
      <c r="F58" s="125"/>
      <c r="G58" s="125"/>
      <c r="H58" s="245"/>
      <c r="I58" s="181"/>
      <c r="J58" s="181"/>
      <c r="K58" s="181"/>
      <c r="L58" s="181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5"/>
      <c r="C59" s="125"/>
      <c r="D59" s="125"/>
      <c r="E59" s="125"/>
      <c r="F59" s="125"/>
      <c r="G59" s="125"/>
      <c r="H59" s="245"/>
      <c r="I59" s="245"/>
      <c r="J59" s="245"/>
      <c r="K59" s="245"/>
      <c r="L59" s="24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5"/>
      <c r="C60" s="125"/>
      <c r="D60" s="125"/>
      <c r="E60" s="125"/>
      <c r="F60" s="125"/>
      <c r="G60" s="125"/>
      <c r="H60" s="141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5"/>
      <c r="C61" s="125"/>
      <c r="D61" s="125"/>
      <c r="E61" s="125"/>
      <c r="F61" s="125"/>
      <c r="G61" s="125"/>
      <c r="H61" s="141"/>
      <c r="I61" s="141"/>
      <c r="J61" s="141"/>
      <c r="K61" s="141"/>
      <c r="L61" s="141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5"/>
      <c r="C63" s="125"/>
      <c r="D63" s="125"/>
      <c r="E63" s="125"/>
      <c r="F63" s="125"/>
      <c r="G63" s="125"/>
      <c r="H63" s="181"/>
      <c r="I63" s="180"/>
      <c r="J63" s="180"/>
      <c r="K63" s="180"/>
      <c r="L63" s="180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9" max="12" width="13.38"/>
  </cols>
  <sheetData>
    <row r="1">
      <c r="A1" s="125"/>
      <c r="B1" s="141"/>
      <c r="C1" s="125"/>
      <c r="D1" s="182" t="s">
        <v>140</v>
      </c>
      <c r="E1" s="141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41"/>
      <c r="C2" s="125"/>
      <c r="D2" s="141"/>
      <c r="E2" s="141" t="s">
        <v>453</v>
      </c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25"/>
      <c r="C4" s="141" t="s">
        <v>443</v>
      </c>
      <c r="D4" s="141" t="s">
        <v>444</v>
      </c>
      <c r="E4" s="141" t="s">
        <v>445</v>
      </c>
      <c r="F4" s="141" t="s">
        <v>446</v>
      </c>
      <c r="G4" s="125"/>
      <c r="H4" s="125"/>
      <c r="I4" s="141" t="s">
        <v>443</v>
      </c>
      <c r="J4" s="141" t="s">
        <v>444</v>
      </c>
      <c r="K4" s="141" t="s">
        <v>445</v>
      </c>
      <c r="L4" s="141" t="s">
        <v>446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125"/>
      <c r="B5" s="114" t="s">
        <v>193</v>
      </c>
      <c r="C5" s="113" t="s">
        <v>297</v>
      </c>
      <c r="D5" s="113" t="s">
        <v>447</v>
      </c>
      <c r="E5" s="113" t="s">
        <v>448</v>
      </c>
      <c r="F5" s="113" t="s">
        <v>449</v>
      </c>
      <c r="G5" s="113" t="s">
        <v>247</v>
      </c>
      <c r="H5" s="113" t="s">
        <v>248</v>
      </c>
      <c r="I5" s="113" t="s">
        <v>297</v>
      </c>
      <c r="J5" s="113" t="s">
        <v>447</v>
      </c>
      <c r="K5" s="113" t="s">
        <v>448</v>
      </c>
      <c r="L5" s="113" t="s">
        <v>449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62"/>
      <c r="B6" s="160" t="s">
        <v>205</v>
      </c>
      <c r="C6" s="161">
        <v>140.0</v>
      </c>
      <c r="D6" s="161">
        <v>180.0</v>
      </c>
      <c r="E6" s="161">
        <v>240.0</v>
      </c>
      <c r="F6" s="161">
        <v>270.0</v>
      </c>
      <c r="G6" s="160">
        <v>1000.0</v>
      </c>
      <c r="H6" s="162">
        <v>1.07</v>
      </c>
      <c r="I6" s="163">
        <f t="shared" ref="I6:I11" si="1">(C6*H6)/G6</f>
        <v>0.1498</v>
      </c>
      <c r="J6" s="164">
        <f t="shared" ref="J6:J11" si="2">(D6*H6)/G6</f>
        <v>0.1926</v>
      </c>
      <c r="K6" s="164">
        <f t="shared" ref="K6:K11" si="3">(E6*H6)/G6</f>
        <v>0.2568</v>
      </c>
      <c r="L6" s="164">
        <f t="shared" ref="L6:L11" si="4">(F6*H6)/G6</f>
        <v>0.2889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65" t="s">
        <v>342</v>
      </c>
      <c r="B7" s="160" t="s">
        <v>203</v>
      </c>
      <c r="C7" s="160">
        <v>5.0</v>
      </c>
      <c r="D7" s="161">
        <v>6.0</v>
      </c>
      <c r="E7" s="161">
        <v>8.0</v>
      </c>
      <c r="F7" s="161">
        <v>9.0</v>
      </c>
      <c r="G7" s="160">
        <v>12.0</v>
      </c>
      <c r="H7" s="162">
        <v>2.5</v>
      </c>
      <c r="I7" s="163">
        <f t="shared" si="1"/>
        <v>1.041666667</v>
      </c>
      <c r="J7" s="164">
        <f t="shared" si="2"/>
        <v>1.25</v>
      </c>
      <c r="K7" s="164">
        <f t="shared" si="3"/>
        <v>1.666666667</v>
      </c>
      <c r="L7" s="164">
        <f t="shared" si="4"/>
        <v>1.875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165" t="s">
        <v>306</v>
      </c>
      <c r="B8" s="160" t="s">
        <v>304</v>
      </c>
      <c r="C8" s="160">
        <v>150.0</v>
      </c>
      <c r="D8" s="161">
        <v>180.0</v>
      </c>
      <c r="E8" s="161">
        <v>240.0</v>
      </c>
      <c r="F8" s="161">
        <v>270.0</v>
      </c>
      <c r="G8" s="160">
        <v>1000.0</v>
      </c>
      <c r="H8" s="162">
        <v>1.49</v>
      </c>
      <c r="I8" s="163">
        <f t="shared" si="1"/>
        <v>0.2235</v>
      </c>
      <c r="J8" s="164">
        <f t="shared" si="2"/>
        <v>0.2682</v>
      </c>
      <c r="K8" s="164">
        <f t="shared" si="3"/>
        <v>0.3576</v>
      </c>
      <c r="L8" s="164">
        <f t="shared" si="4"/>
        <v>0.4023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62"/>
      <c r="B9" s="160" t="s">
        <v>207</v>
      </c>
      <c r="C9" s="161">
        <v>5.0</v>
      </c>
      <c r="D9" s="161">
        <v>10.0</v>
      </c>
      <c r="E9" s="161">
        <v>10.0</v>
      </c>
      <c r="F9" s="161">
        <v>15.0</v>
      </c>
      <c r="G9" s="161">
        <v>236.0</v>
      </c>
      <c r="H9" s="162">
        <v>6.9</v>
      </c>
      <c r="I9" s="163">
        <f t="shared" si="1"/>
        <v>0.1461864407</v>
      </c>
      <c r="J9" s="164">
        <f t="shared" si="2"/>
        <v>0.2923728814</v>
      </c>
      <c r="K9" s="164">
        <f t="shared" si="3"/>
        <v>0.2923728814</v>
      </c>
      <c r="L9" s="164">
        <f t="shared" si="4"/>
        <v>0.438559322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33"/>
      <c r="B10" s="166" t="s">
        <v>274</v>
      </c>
      <c r="C10" s="166">
        <v>30.0</v>
      </c>
      <c r="D10" s="166">
        <v>40.0</v>
      </c>
      <c r="E10" s="166">
        <v>50.0</v>
      </c>
      <c r="F10" s="166">
        <v>60.0</v>
      </c>
      <c r="G10" s="166">
        <v>250.0</v>
      </c>
      <c r="H10" s="167">
        <v>6.0</v>
      </c>
      <c r="I10" s="163">
        <f t="shared" si="1"/>
        <v>0.72</v>
      </c>
      <c r="J10" s="164">
        <f t="shared" si="2"/>
        <v>0.96</v>
      </c>
      <c r="K10" s="164">
        <f t="shared" si="3"/>
        <v>1.2</v>
      </c>
      <c r="L10" s="164">
        <f t="shared" si="4"/>
        <v>1.44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33"/>
      <c r="B11" s="166" t="s">
        <v>244</v>
      </c>
      <c r="C11" s="166">
        <v>20.0</v>
      </c>
      <c r="D11" s="166">
        <v>30.0</v>
      </c>
      <c r="E11" s="166">
        <v>40.0</v>
      </c>
      <c r="F11" s="166">
        <v>40.0</v>
      </c>
      <c r="G11" s="166">
        <v>400.0</v>
      </c>
      <c r="H11" s="167">
        <v>2.99</v>
      </c>
      <c r="I11" s="163">
        <f t="shared" si="1"/>
        <v>0.1495</v>
      </c>
      <c r="J11" s="164">
        <f t="shared" si="2"/>
        <v>0.22425</v>
      </c>
      <c r="K11" s="164">
        <f t="shared" si="3"/>
        <v>0.299</v>
      </c>
      <c r="L11" s="164">
        <f t="shared" si="4"/>
        <v>0.299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33"/>
      <c r="B12" s="77"/>
      <c r="C12" s="77"/>
      <c r="D12" s="77"/>
      <c r="E12" s="77"/>
      <c r="F12" s="77"/>
      <c r="G12" s="77"/>
      <c r="H12" s="168"/>
      <c r="I12" s="169">
        <f t="shared" ref="I12:L12" si="5">SUM(I6:I11)</f>
        <v>2.430653107</v>
      </c>
      <c r="J12" s="170">
        <f t="shared" si="5"/>
        <v>3.187422881</v>
      </c>
      <c r="K12" s="170">
        <f t="shared" si="5"/>
        <v>4.072439548</v>
      </c>
      <c r="L12" s="170">
        <f t="shared" si="5"/>
        <v>4.743759322</v>
      </c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5"/>
      <c r="B14" s="126" t="s">
        <v>304</v>
      </c>
      <c r="C14" s="126">
        <v>100.0</v>
      </c>
      <c r="D14" s="126">
        <v>150.0</v>
      </c>
      <c r="E14" s="126">
        <v>200.0</v>
      </c>
      <c r="F14" s="126">
        <v>250.0</v>
      </c>
      <c r="G14" s="126">
        <v>1000.0</v>
      </c>
      <c r="H14" s="126">
        <v>1.49</v>
      </c>
      <c r="I14" s="127">
        <f t="shared" ref="I14:I16" si="6">(C14*H14)/G14</f>
        <v>0.149</v>
      </c>
      <c r="J14" s="127">
        <f t="shared" ref="J14:J16" si="7">(D14*H14)/G14</f>
        <v>0.2235</v>
      </c>
      <c r="K14" s="127">
        <f t="shared" ref="K14:K16" si="8">(E14*H14)/G14</f>
        <v>0.298</v>
      </c>
      <c r="L14" s="239">
        <f>(F14*H6)/G6</f>
        <v>0.2675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9" t="s">
        <v>305</v>
      </c>
      <c r="B15" s="126" t="s">
        <v>206</v>
      </c>
      <c r="C15" s="126">
        <v>100.0</v>
      </c>
      <c r="D15" s="126">
        <v>150.0</v>
      </c>
      <c r="E15" s="126">
        <v>200.0</v>
      </c>
      <c r="F15" s="126">
        <v>250.0</v>
      </c>
      <c r="G15" s="126">
        <v>1000.0</v>
      </c>
      <c r="H15" s="126">
        <v>0.25</v>
      </c>
      <c r="I15" s="127">
        <f t="shared" si="6"/>
        <v>0.025</v>
      </c>
      <c r="J15" s="127">
        <f t="shared" si="7"/>
        <v>0.0375</v>
      </c>
      <c r="K15" s="127">
        <f t="shared" si="8"/>
        <v>0.05</v>
      </c>
      <c r="L15" s="127">
        <f t="shared" ref="L15:L16" si="9">(F15*H15)/G15</f>
        <v>0.0625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6" t="s">
        <v>207</v>
      </c>
      <c r="C16" s="126">
        <v>3.0</v>
      </c>
      <c r="D16" s="126">
        <v>5.0</v>
      </c>
      <c r="E16" s="126">
        <v>9.0</v>
      </c>
      <c r="F16" s="126">
        <v>11.0</v>
      </c>
      <c r="G16" s="126">
        <v>236.0</v>
      </c>
      <c r="H16" s="126">
        <v>6.9</v>
      </c>
      <c r="I16" s="127">
        <f t="shared" si="6"/>
        <v>0.08771186441</v>
      </c>
      <c r="J16" s="127">
        <f t="shared" si="7"/>
        <v>0.1461864407</v>
      </c>
      <c r="K16" s="127">
        <f t="shared" si="8"/>
        <v>0.2631355932</v>
      </c>
      <c r="L16" s="127">
        <f t="shared" si="9"/>
        <v>0.3216101695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5"/>
      <c r="C17" s="125"/>
      <c r="D17" s="125"/>
      <c r="E17" s="125"/>
      <c r="F17" s="125"/>
      <c r="G17" s="125"/>
      <c r="H17" s="125"/>
      <c r="I17" s="130">
        <f t="shared" ref="I17:L17" si="10">SUM(I14:I16)</f>
        <v>0.2617118644</v>
      </c>
      <c r="J17" s="130">
        <f t="shared" si="10"/>
        <v>0.4071864407</v>
      </c>
      <c r="K17" s="130">
        <f t="shared" si="10"/>
        <v>0.6111355932</v>
      </c>
      <c r="L17" s="240">
        <f t="shared" si="10"/>
        <v>0.6516101695</v>
      </c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25"/>
      <c r="B19" s="171" t="s">
        <v>308</v>
      </c>
      <c r="C19" s="171">
        <v>400.0</v>
      </c>
      <c r="D19" s="171">
        <v>600.0</v>
      </c>
      <c r="E19" s="171">
        <v>800.0</v>
      </c>
      <c r="F19" s="171">
        <v>900.0</v>
      </c>
      <c r="G19" s="171">
        <v>600.0</v>
      </c>
      <c r="H19" s="171">
        <v>2.36</v>
      </c>
      <c r="I19" s="172">
        <f t="shared" ref="I19:I23" si="11">(C19*H19)/G19</f>
        <v>1.573333333</v>
      </c>
      <c r="J19" s="172">
        <f t="shared" ref="J19:J23" si="12">(D19*H19)/G19</f>
        <v>2.36</v>
      </c>
      <c r="K19" s="172">
        <f t="shared" ref="K19:K23" si="13">(E19*H19)/G19</f>
        <v>3.146666667</v>
      </c>
      <c r="L19" s="172">
        <f t="shared" ref="L19:L23" si="14">(F19*H19)/G19</f>
        <v>3.54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50" t="s">
        <v>344</v>
      </c>
      <c r="B20" s="171" t="s">
        <v>345</v>
      </c>
      <c r="C20" s="171">
        <v>100.0</v>
      </c>
      <c r="D20" s="171">
        <v>150.0</v>
      </c>
      <c r="E20" s="171">
        <v>200.0</v>
      </c>
      <c r="F20" s="171">
        <v>200.0</v>
      </c>
      <c r="G20" s="171">
        <v>250.0</v>
      </c>
      <c r="H20" s="171">
        <v>2.0</v>
      </c>
      <c r="I20" s="172">
        <f t="shared" si="11"/>
        <v>0.8</v>
      </c>
      <c r="J20" s="172">
        <f t="shared" si="12"/>
        <v>1.2</v>
      </c>
      <c r="K20" s="172">
        <f t="shared" si="13"/>
        <v>1.6</v>
      </c>
      <c r="L20" s="172">
        <f t="shared" si="14"/>
        <v>1.6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50" t="s">
        <v>454</v>
      </c>
      <c r="B21" s="171" t="s">
        <v>306</v>
      </c>
      <c r="C21" s="171">
        <v>100.0</v>
      </c>
      <c r="D21" s="171">
        <v>200.0</v>
      </c>
      <c r="E21" s="171">
        <v>300.0</v>
      </c>
      <c r="F21" s="171">
        <v>400.0</v>
      </c>
      <c r="G21" s="171">
        <v>100.0</v>
      </c>
      <c r="H21" s="171">
        <v>1.19</v>
      </c>
      <c r="I21" s="172">
        <f t="shared" si="11"/>
        <v>1.19</v>
      </c>
      <c r="J21" s="172">
        <f t="shared" si="12"/>
        <v>2.38</v>
      </c>
      <c r="K21" s="172">
        <f t="shared" si="13"/>
        <v>3.57</v>
      </c>
      <c r="L21" s="172">
        <f t="shared" si="14"/>
        <v>4.76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50" t="s">
        <v>455</v>
      </c>
      <c r="B22" s="171" t="s">
        <v>348</v>
      </c>
      <c r="C22" s="171">
        <v>80.0</v>
      </c>
      <c r="D22" s="171">
        <v>90.0</v>
      </c>
      <c r="E22" s="171">
        <v>100.0</v>
      </c>
      <c r="F22" s="171">
        <v>120.0</v>
      </c>
      <c r="G22" s="171">
        <v>1000.0</v>
      </c>
      <c r="H22" s="171">
        <v>1.49</v>
      </c>
      <c r="I22" s="172">
        <f t="shared" si="11"/>
        <v>0.1192</v>
      </c>
      <c r="J22" s="172">
        <f t="shared" si="12"/>
        <v>0.1341</v>
      </c>
      <c r="K22" s="172">
        <f t="shared" si="13"/>
        <v>0.149</v>
      </c>
      <c r="L22" s="172">
        <f t="shared" si="14"/>
        <v>0.1788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71" t="s">
        <v>456</v>
      </c>
      <c r="C23" s="171">
        <v>20.0</v>
      </c>
      <c r="D23" s="171">
        <v>30.0</v>
      </c>
      <c r="E23" s="171">
        <v>40.0</v>
      </c>
      <c r="F23" s="171">
        <v>50.0</v>
      </c>
      <c r="G23" s="171">
        <v>450.0</v>
      </c>
      <c r="H23" s="171">
        <v>5.0</v>
      </c>
      <c r="I23" s="172">
        <f t="shared" si="11"/>
        <v>0.2222222222</v>
      </c>
      <c r="J23" s="172">
        <f t="shared" si="12"/>
        <v>0.3333333333</v>
      </c>
      <c r="K23" s="172">
        <f t="shared" si="13"/>
        <v>0.4444444444</v>
      </c>
      <c r="L23" s="172">
        <f t="shared" si="14"/>
        <v>0.5555555556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25"/>
      <c r="G24" s="125"/>
      <c r="H24" s="125"/>
      <c r="I24" s="173">
        <f t="shared" ref="I24:L24" si="15">SUM(I19:I23)</f>
        <v>3.904755556</v>
      </c>
      <c r="J24" s="173">
        <f t="shared" si="15"/>
        <v>6.407433333</v>
      </c>
      <c r="K24" s="173">
        <f t="shared" si="15"/>
        <v>8.910111111</v>
      </c>
      <c r="L24" s="173">
        <f t="shared" si="15"/>
        <v>10.63435556</v>
      </c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38" t="s">
        <v>311</v>
      </c>
      <c r="B26" s="139" t="s">
        <v>308</v>
      </c>
      <c r="C26" s="139">
        <v>300.0</v>
      </c>
      <c r="D26" s="139">
        <v>400.0</v>
      </c>
      <c r="E26" s="139">
        <v>450.0</v>
      </c>
      <c r="F26" s="139">
        <v>500.0</v>
      </c>
      <c r="G26" s="139">
        <v>600.0</v>
      </c>
      <c r="H26" s="139">
        <v>2.36</v>
      </c>
      <c r="I26" s="140">
        <f t="shared" ref="I26:I29" si="16">(C26*H26)/G26</f>
        <v>1.18</v>
      </c>
      <c r="J26" s="140">
        <f t="shared" ref="J26:J29" si="17">(D26*H26)/G26</f>
        <v>1.573333333</v>
      </c>
      <c r="K26" s="140">
        <f t="shared" ref="K26:K29" si="18">(E26*H26)/G26</f>
        <v>1.77</v>
      </c>
      <c r="L26" s="140">
        <f t="shared" ref="L26:L29" si="19">(F26*H26)/G26</f>
        <v>1.966666667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38" t="s">
        <v>349</v>
      </c>
      <c r="B27" s="139" t="s">
        <v>306</v>
      </c>
      <c r="C27" s="139">
        <v>300.0</v>
      </c>
      <c r="D27" s="139">
        <v>400.0</v>
      </c>
      <c r="E27" s="139">
        <v>450.0</v>
      </c>
      <c r="F27" s="139">
        <v>500.0</v>
      </c>
      <c r="G27" s="139">
        <v>100.0</v>
      </c>
      <c r="H27" s="139">
        <v>1.15</v>
      </c>
      <c r="I27" s="140">
        <f t="shared" si="16"/>
        <v>3.45</v>
      </c>
      <c r="J27" s="140">
        <f t="shared" si="17"/>
        <v>4.6</v>
      </c>
      <c r="K27" s="140">
        <f t="shared" si="18"/>
        <v>5.175</v>
      </c>
      <c r="L27" s="140">
        <f t="shared" si="19"/>
        <v>5.75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38" t="s">
        <v>109</v>
      </c>
      <c r="B28" s="139" t="s">
        <v>451</v>
      </c>
      <c r="C28" s="139">
        <v>0.0</v>
      </c>
      <c r="D28" s="139">
        <v>0.0</v>
      </c>
      <c r="E28" s="139">
        <v>0.0</v>
      </c>
      <c r="F28" s="139">
        <v>0.0</v>
      </c>
      <c r="G28" s="139">
        <v>100.0</v>
      </c>
      <c r="H28" s="139">
        <v>1.79</v>
      </c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41"/>
      <c r="B29" s="139" t="s">
        <v>294</v>
      </c>
      <c r="C29" s="139">
        <v>0.0</v>
      </c>
      <c r="D29" s="139">
        <v>0.0</v>
      </c>
      <c r="E29" s="139">
        <v>0.0</v>
      </c>
      <c r="F29" s="139">
        <v>0.0</v>
      </c>
      <c r="G29" s="139">
        <v>2000.0</v>
      </c>
      <c r="H29" s="139">
        <v>10.75</v>
      </c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5"/>
      <c r="C30" s="125"/>
      <c r="D30" s="125"/>
      <c r="E30" s="125"/>
      <c r="F30" s="125"/>
      <c r="G30" s="125"/>
      <c r="H30" s="125"/>
      <c r="I30" s="142">
        <f t="shared" ref="I30:L30" si="20">SUM(I26:I29)</f>
        <v>4.63</v>
      </c>
      <c r="J30" s="142">
        <f t="shared" si="20"/>
        <v>6.173333333</v>
      </c>
      <c r="K30" s="142">
        <f t="shared" si="20"/>
        <v>6.945</v>
      </c>
      <c r="L30" s="142">
        <f t="shared" si="20"/>
        <v>7.716666667</v>
      </c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43" t="s">
        <v>317</v>
      </c>
      <c r="C32" s="144">
        <v>1.0</v>
      </c>
      <c r="D32" s="144">
        <v>1.0</v>
      </c>
      <c r="E32" s="144">
        <v>1.0</v>
      </c>
      <c r="F32" s="143">
        <v>1.0</v>
      </c>
      <c r="G32" s="143">
        <v>20.0</v>
      </c>
      <c r="H32" s="143">
        <v>1.13</v>
      </c>
      <c r="I32" s="144">
        <f t="shared" ref="I32:I36" si="21">(C32*H32)/G32</f>
        <v>0.0565</v>
      </c>
      <c r="J32" s="144">
        <f t="shared" ref="J32:J36" si="22">(C32*H32)/G32</f>
        <v>0.0565</v>
      </c>
      <c r="K32" s="144">
        <f t="shared" ref="K32:K36" si="23">(E32*H32)/G32</f>
        <v>0.0565</v>
      </c>
      <c r="L32" s="144">
        <f t="shared" ref="L32:L36" si="24">(F32*H32)/G32</f>
        <v>0.0565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43" t="s">
        <v>318</v>
      </c>
      <c r="C33" s="144">
        <v>1.0</v>
      </c>
      <c r="D33" s="144">
        <v>1.0</v>
      </c>
      <c r="E33" s="144">
        <v>1.0</v>
      </c>
      <c r="F33" s="143">
        <v>1.0</v>
      </c>
      <c r="G33" s="143">
        <v>1000.0</v>
      </c>
      <c r="H33" s="143">
        <v>2.05</v>
      </c>
      <c r="I33" s="144">
        <f t="shared" si="21"/>
        <v>0.00205</v>
      </c>
      <c r="J33" s="144">
        <f t="shared" si="22"/>
        <v>0.00205</v>
      </c>
      <c r="K33" s="144">
        <f t="shared" si="23"/>
        <v>0.00205</v>
      </c>
      <c r="L33" s="144">
        <f t="shared" si="24"/>
        <v>0.00205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25"/>
      <c r="B34" s="143" t="s">
        <v>204</v>
      </c>
      <c r="C34" s="143">
        <v>30.0</v>
      </c>
      <c r="D34" s="143">
        <v>35.0</v>
      </c>
      <c r="E34" s="143">
        <v>40.0</v>
      </c>
      <c r="F34" s="143">
        <v>40.0</v>
      </c>
      <c r="G34" s="143">
        <v>60.0</v>
      </c>
      <c r="H34" s="143">
        <v>1.0</v>
      </c>
      <c r="I34" s="144">
        <f t="shared" si="21"/>
        <v>0.5</v>
      </c>
      <c r="J34" s="144">
        <f t="shared" si="22"/>
        <v>0.5</v>
      </c>
      <c r="K34" s="144">
        <f t="shared" si="23"/>
        <v>0.6666666667</v>
      </c>
      <c r="L34" s="144">
        <f t="shared" si="24"/>
        <v>0.6666666667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45" t="s">
        <v>319</v>
      </c>
      <c r="B35" s="143" t="s">
        <v>206</v>
      </c>
      <c r="C35" s="143">
        <v>12.0</v>
      </c>
      <c r="D35" s="143">
        <v>12.0</v>
      </c>
      <c r="E35" s="143">
        <v>12.0</v>
      </c>
      <c r="F35" s="143">
        <v>12.0</v>
      </c>
      <c r="G35" s="143">
        <v>1000.0</v>
      </c>
      <c r="H35" s="143">
        <v>1.97</v>
      </c>
      <c r="I35" s="144">
        <f t="shared" si="21"/>
        <v>0.02364</v>
      </c>
      <c r="J35" s="144">
        <f t="shared" si="22"/>
        <v>0.02364</v>
      </c>
      <c r="K35" s="144">
        <f t="shared" si="23"/>
        <v>0.02364</v>
      </c>
      <c r="L35" s="144">
        <f t="shared" si="24"/>
        <v>0.02364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45" t="s">
        <v>320</v>
      </c>
      <c r="B36" s="143" t="s">
        <v>208</v>
      </c>
      <c r="C36" s="143">
        <v>12.0</v>
      </c>
      <c r="D36" s="143">
        <v>12.0</v>
      </c>
      <c r="E36" s="143">
        <v>12.0</v>
      </c>
      <c r="F36" s="143">
        <v>12.0</v>
      </c>
      <c r="G36" s="143">
        <v>60.0</v>
      </c>
      <c r="H36" s="143">
        <v>1.0</v>
      </c>
      <c r="I36" s="144">
        <f t="shared" si="21"/>
        <v>0.2</v>
      </c>
      <c r="J36" s="144">
        <f t="shared" si="22"/>
        <v>0.2</v>
      </c>
      <c r="K36" s="144">
        <f t="shared" si="23"/>
        <v>0.2</v>
      </c>
      <c r="L36" s="144">
        <f t="shared" si="24"/>
        <v>0.2</v>
      </c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43"/>
      <c r="C37" s="143"/>
      <c r="D37" s="143"/>
      <c r="E37" s="143"/>
      <c r="F37" s="143"/>
      <c r="G37" s="143"/>
      <c r="H37" s="143"/>
      <c r="I37" s="144"/>
      <c r="J37" s="144"/>
      <c r="K37" s="144"/>
      <c r="L37" s="144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241"/>
      <c r="C40" s="241"/>
      <c r="D40" s="241"/>
      <c r="E40" s="241"/>
      <c r="F40" s="241"/>
      <c r="G40" s="241"/>
      <c r="H40" s="241"/>
      <c r="I40" s="147">
        <f t="shared" ref="I40:L40" si="25">SUM(I32:I39)</f>
        <v>0.78219</v>
      </c>
      <c r="J40" s="147">
        <f t="shared" si="25"/>
        <v>0.78219</v>
      </c>
      <c r="K40" s="147">
        <f t="shared" si="25"/>
        <v>0.9488566667</v>
      </c>
      <c r="L40" s="147">
        <f t="shared" si="25"/>
        <v>0.9488566667</v>
      </c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25"/>
      <c r="B43" s="148" t="s">
        <v>322</v>
      </c>
      <c r="C43" s="148">
        <v>1.0</v>
      </c>
      <c r="D43" s="148">
        <v>1.0</v>
      </c>
      <c r="E43" s="148">
        <v>1.0</v>
      </c>
      <c r="F43" s="148">
        <v>1.0</v>
      </c>
      <c r="G43" s="148">
        <v>1.0</v>
      </c>
      <c r="H43" s="148">
        <v>1.8</v>
      </c>
      <c r="I43" s="149">
        <f t="shared" ref="I43:I52" si="26">(C43*H43)/G43</f>
        <v>1.8</v>
      </c>
      <c r="J43" s="149">
        <f t="shared" ref="J43:J52" si="27">(C43*H43)/G43</f>
        <v>1.8</v>
      </c>
      <c r="K43" s="149">
        <f t="shared" ref="K43:K52" si="28">(E43*H43)/G43</f>
        <v>1.8</v>
      </c>
      <c r="L43" s="149">
        <f t="shared" ref="L43:L52" si="29">(F43*H43)/G43</f>
        <v>1.8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41"/>
      <c r="B44" s="148" t="s">
        <v>323</v>
      </c>
      <c r="C44" s="148">
        <v>1.0</v>
      </c>
      <c r="D44" s="148">
        <v>1.0</v>
      </c>
      <c r="E44" s="148">
        <v>1.0</v>
      </c>
      <c r="F44" s="148">
        <v>1.0</v>
      </c>
      <c r="G44" s="148">
        <v>6.0</v>
      </c>
      <c r="H44" s="148">
        <v>1.0</v>
      </c>
      <c r="I44" s="149">
        <f t="shared" si="26"/>
        <v>0.1666666667</v>
      </c>
      <c r="J44" s="149">
        <f t="shared" si="27"/>
        <v>0.1666666667</v>
      </c>
      <c r="K44" s="149">
        <f t="shared" si="28"/>
        <v>0.1666666667</v>
      </c>
      <c r="L44" s="149">
        <f t="shared" si="29"/>
        <v>0.1666666667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25"/>
      <c r="B45" s="148" t="s">
        <v>324</v>
      </c>
      <c r="C45" s="148">
        <v>1.0</v>
      </c>
      <c r="D45" s="148">
        <v>1.0</v>
      </c>
      <c r="E45" s="148">
        <v>1.0</v>
      </c>
      <c r="F45" s="148">
        <v>0.0</v>
      </c>
      <c r="G45" s="148">
        <v>1.0</v>
      </c>
      <c r="H45" s="148">
        <v>0.9</v>
      </c>
      <c r="I45" s="149">
        <f t="shared" si="26"/>
        <v>0.9</v>
      </c>
      <c r="J45" s="149">
        <f t="shared" si="27"/>
        <v>0.9</v>
      </c>
      <c r="K45" s="149">
        <f t="shared" si="28"/>
        <v>0.9</v>
      </c>
      <c r="L45" s="149">
        <f t="shared" si="29"/>
        <v>0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50" t="s">
        <v>325</v>
      </c>
      <c r="B46" s="148" t="s">
        <v>326</v>
      </c>
      <c r="C46" s="148">
        <v>1.0</v>
      </c>
      <c r="D46" s="148">
        <v>1.0</v>
      </c>
      <c r="E46" s="148">
        <v>1.0</v>
      </c>
      <c r="F46" s="148">
        <v>0.0</v>
      </c>
      <c r="G46" s="148">
        <v>1.0</v>
      </c>
      <c r="H46" s="148">
        <v>2.0</v>
      </c>
      <c r="I46" s="149">
        <f t="shared" si="26"/>
        <v>2</v>
      </c>
      <c r="J46" s="149">
        <f t="shared" si="27"/>
        <v>2</v>
      </c>
      <c r="K46" s="149">
        <f t="shared" si="28"/>
        <v>2</v>
      </c>
      <c r="L46" s="149">
        <f t="shared" si="29"/>
        <v>0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48" t="s">
        <v>327</v>
      </c>
      <c r="C47" s="148">
        <v>1.0</v>
      </c>
      <c r="D47" s="148">
        <v>1.0</v>
      </c>
      <c r="E47" s="148">
        <v>1.0</v>
      </c>
      <c r="F47" s="148">
        <v>1.0</v>
      </c>
      <c r="G47" s="148">
        <v>500.0</v>
      </c>
      <c r="H47" s="148">
        <v>0.85</v>
      </c>
      <c r="I47" s="149">
        <f t="shared" si="26"/>
        <v>0.0017</v>
      </c>
      <c r="J47" s="149">
        <f t="shared" si="27"/>
        <v>0.0017</v>
      </c>
      <c r="K47" s="149">
        <f t="shared" si="28"/>
        <v>0.0017</v>
      </c>
      <c r="L47" s="149">
        <f t="shared" si="29"/>
        <v>0.0017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48" t="s">
        <v>328</v>
      </c>
      <c r="C48" s="148">
        <v>2.0</v>
      </c>
      <c r="D48" s="148">
        <v>2.0</v>
      </c>
      <c r="E48" s="148">
        <v>2.0</v>
      </c>
      <c r="F48" s="148">
        <v>1.0</v>
      </c>
      <c r="G48" s="148">
        <v>2.0</v>
      </c>
      <c r="H48" s="148">
        <v>0.18</v>
      </c>
      <c r="I48" s="149">
        <f t="shared" si="26"/>
        <v>0.18</v>
      </c>
      <c r="J48" s="149">
        <f t="shared" si="27"/>
        <v>0.18</v>
      </c>
      <c r="K48" s="149">
        <f t="shared" si="28"/>
        <v>0.18</v>
      </c>
      <c r="L48" s="149">
        <f t="shared" si="29"/>
        <v>0.09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48" t="s">
        <v>351</v>
      </c>
      <c r="C49" s="148">
        <v>0.0</v>
      </c>
      <c r="D49" s="148">
        <v>0.0</v>
      </c>
      <c r="E49" s="148">
        <v>0.0</v>
      </c>
      <c r="F49" s="148">
        <v>1.0</v>
      </c>
      <c r="G49" s="148">
        <v>1.0</v>
      </c>
      <c r="H49" s="148">
        <v>0.9</v>
      </c>
      <c r="I49" s="149">
        <f t="shared" si="26"/>
        <v>0</v>
      </c>
      <c r="J49" s="149">
        <f t="shared" si="27"/>
        <v>0</v>
      </c>
      <c r="K49" s="149">
        <f t="shared" si="28"/>
        <v>0</v>
      </c>
      <c r="L49" s="149">
        <f t="shared" si="29"/>
        <v>0.9</v>
      </c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48" t="s">
        <v>352</v>
      </c>
      <c r="C50" s="148">
        <v>0.0</v>
      </c>
      <c r="D50" s="148">
        <v>0.0</v>
      </c>
      <c r="E50" s="148">
        <v>0.0</v>
      </c>
      <c r="F50" s="148">
        <v>1.0</v>
      </c>
      <c r="G50" s="148">
        <v>1.0</v>
      </c>
      <c r="H50" s="148">
        <v>2.0</v>
      </c>
      <c r="I50" s="149">
        <f t="shared" si="26"/>
        <v>0</v>
      </c>
      <c r="J50" s="149">
        <f t="shared" si="27"/>
        <v>0</v>
      </c>
      <c r="K50" s="149">
        <f t="shared" si="28"/>
        <v>0</v>
      </c>
      <c r="L50" s="149">
        <f t="shared" si="29"/>
        <v>2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48" t="s">
        <v>329</v>
      </c>
      <c r="C51" s="148">
        <v>10.0</v>
      </c>
      <c r="D51" s="148">
        <v>10.0</v>
      </c>
      <c r="E51" s="148">
        <v>10.0</v>
      </c>
      <c r="F51" s="148">
        <v>12.0</v>
      </c>
      <c r="G51" s="148">
        <v>100.0</v>
      </c>
      <c r="H51" s="148">
        <v>6.0</v>
      </c>
      <c r="I51" s="149">
        <f t="shared" si="26"/>
        <v>0.6</v>
      </c>
      <c r="J51" s="149">
        <f t="shared" si="27"/>
        <v>0.6</v>
      </c>
      <c r="K51" s="149">
        <f t="shared" si="28"/>
        <v>0.6</v>
      </c>
      <c r="L51" s="149">
        <f t="shared" si="29"/>
        <v>0.72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48" t="s">
        <v>330</v>
      </c>
      <c r="C52" s="148">
        <v>3.0</v>
      </c>
      <c r="D52" s="148">
        <v>3.0</v>
      </c>
      <c r="E52" s="148">
        <v>3.0</v>
      </c>
      <c r="F52" s="148">
        <v>3.0</v>
      </c>
      <c r="G52" s="148">
        <v>10.0</v>
      </c>
      <c r="H52" s="148">
        <v>10.0</v>
      </c>
      <c r="I52" s="149">
        <f t="shared" si="26"/>
        <v>3</v>
      </c>
      <c r="J52" s="149">
        <f t="shared" si="27"/>
        <v>3</v>
      </c>
      <c r="K52" s="149">
        <f t="shared" si="28"/>
        <v>3</v>
      </c>
      <c r="L52" s="149">
        <f t="shared" si="29"/>
        <v>3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5"/>
      <c r="C53" s="125"/>
      <c r="D53" s="125"/>
      <c r="E53" s="125"/>
      <c r="F53" s="125"/>
      <c r="G53" s="125"/>
      <c r="H53" s="125"/>
      <c r="I53" s="151">
        <f t="shared" ref="I53:L53" si="30">SUM(I43:I52)</f>
        <v>8.648366667</v>
      </c>
      <c r="J53" s="151">
        <f t="shared" si="30"/>
        <v>8.648366667</v>
      </c>
      <c r="K53" s="151">
        <f t="shared" si="30"/>
        <v>8.648366667</v>
      </c>
      <c r="L53" s="151">
        <f t="shared" si="30"/>
        <v>8.678366667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/>
      <c r="D56" s="125"/>
      <c r="E56" s="125"/>
      <c r="F56" s="125"/>
      <c r="G56" s="125"/>
      <c r="H56" s="246" t="s">
        <v>270</v>
      </c>
      <c r="I56" s="242">
        <f t="shared" ref="I56:L56" si="31">SUM(I12+I17+I24+I30+I40+I53)</f>
        <v>20.65767719</v>
      </c>
      <c r="J56" s="242">
        <f t="shared" si="31"/>
        <v>25.60593266</v>
      </c>
      <c r="K56" s="242">
        <f t="shared" si="31"/>
        <v>30.13590959</v>
      </c>
      <c r="L56" s="242">
        <f t="shared" si="31"/>
        <v>33.37361505</v>
      </c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5"/>
      <c r="C57" s="125"/>
      <c r="D57" s="125"/>
      <c r="E57" s="125"/>
      <c r="F57" s="125"/>
      <c r="G57" s="125"/>
      <c r="H57" s="215" t="s">
        <v>452</v>
      </c>
      <c r="I57" s="247">
        <v>45.0</v>
      </c>
      <c r="J57" s="247">
        <v>50.0</v>
      </c>
      <c r="K57" s="247">
        <v>55.0</v>
      </c>
      <c r="L57" s="247">
        <v>65.0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125"/>
      <c r="D58" s="125"/>
      <c r="E58" s="125"/>
      <c r="F58" s="125"/>
      <c r="G58" s="125"/>
      <c r="H58" s="246" t="s">
        <v>10</v>
      </c>
      <c r="I58" s="248">
        <f t="shared" ref="I58:L58" si="32">(I57-I56)</f>
        <v>24.34232281</v>
      </c>
      <c r="J58" s="248">
        <f t="shared" si="32"/>
        <v>24.39406734</v>
      </c>
      <c r="K58" s="248">
        <f t="shared" si="32"/>
        <v>24.86409041</v>
      </c>
      <c r="L58" s="248">
        <f t="shared" si="32"/>
        <v>31.62638495</v>
      </c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5"/>
      <c r="C59" s="125"/>
      <c r="D59" s="125"/>
      <c r="E59" s="125"/>
      <c r="F59" s="125"/>
      <c r="G59" s="125"/>
      <c r="H59" s="245"/>
      <c r="I59" s="181"/>
      <c r="J59" s="181"/>
      <c r="K59" s="181"/>
      <c r="L59" s="181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5"/>
      <c r="C60" s="125"/>
      <c r="D60" s="125"/>
      <c r="E60" s="125"/>
      <c r="F60" s="125"/>
      <c r="G60" s="125"/>
      <c r="H60" s="245"/>
      <c r="I60" s="245"/>
      <c r="J60" s="245"/>
      <c r="K60" s="245"/>
      <c r="L60" s="24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5"/>
      <c r="C61" s="125"/>
      <c r="D61" s="125"/>
      <c r="E61" s="125"/>
      <c r="F61" s="125"/>
      <c r="G61" s="125"/>
      <c r="H61" s="141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5"/>
      <c r="C62" s="125"/>
      <c r="D62" s="125"/>
      <c r="E62" s="125"/>
      <c r="F62" s="125"/>
      <c r="G62" s="125"/>
      <c r="H62" s="141"/>
      <c r="I62" s="141"/>
      <c r="J62" s="141"/>
      <c r="K62" s="141"/>
      <c r="L62" s="141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5"/>
      <c r="C64" s="125"/>
      <c r="D64" s="125"/>
      <c r="E64" s="125"/>
      <c r="F64" s="125"/>
      <c r="G64" s="125"/>
      <c r="H64" s="181"/>
      <c r="I64" s="180"/>
      <c r="J64" s="180"/>
      <c r="K64" s="180"/>
      <c r="L64" s="180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</row>
    <row r="1003">
      <c r="A1003" s="125"/>
      <c r="B1003" s="125"/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9" max="9" width="14.75"/>
    <col customWidth="1" min="10" max="10" width="15.75"/>
    <col customWidth="1" min="11" max="11" width="13.38"/>
  </cols>
  <sheetData>
    <row r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5"/>
      <c r="C3" s="141" t="s">
        <v>332</v>
      </c>
      <c r="D3" s="141" t="s">
        <v>333</v>
      </c>
      <c r="E3" s="141" t="s">
        <v>334</v>
      </c>
      <c r="F3" s="141" t="s">
        <v>335</v>
      </c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14" t="s">
        <v>193</v>
      </c>
      <c r="C4" s="113" t="s">
        <v>115</v>
      </c>
      <c r="D4" s="113" t="s">
        <v>336</v>
      </c>
      <c r="E4" s="113" t="s">
        <v>117</v>
      </c>
      <c r="F4" s="113" t="s">
        <v>337</v>
      </c>
      <c r="G4" s="113" t="s">
        <v>247</v>
      </c>
      <c r="H4" s="113" t="s">
        <v>248</v>
      </c>
      <c r="I4" s="113" t="s">
        <v>338</v>
      </c>
      <c r="J4" s="113" t="s">
        <v>339</v>
      </c>
      <c r="K4" s="113" t="s">
        <v>340</v>
      </c>
      <c r="L4" s="141" t="s">
        <v>341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62"/>
      <c r="B5" s="160" t="s">
        <v>205</v>
      </c>
      <c r="C5" s="161">
        <v>140.0</v>
      </c>
      <c r="D5" s="161">
        <v>170.0</v>
      </c>
      <c r="E5" s="161">
        <v>230.0</v>
      </c>
      <c r="F5" s="161">
        <v>260.0</v>
      </c>
      <c r="G5" s="160">
        <v>1000.0</v>
      </c>
      <c r="H5" s="162">
        <v>1.07</v>
      </c>
      <c r="I5" s="163">
        <f t="shared" ref="I5:I10" si="1">(C5*H5)/G5</f>
        <v>0.1498</v>
      </c>
      <c r="J5" s="118">
        <f t="shared" ref="J5:J9" si="2">D6*H6/G6</f>
        <v>1.25</v>
      </c>
      <c r="K5" s="164">
        <f t="shared" ref="K5:K10" si="3">(E5*H5)/G5</f>
        <v>0.2461</v>
      </c>
      <c r="L5" s="164">
        <f t="shared" ref="L5:L10" si="4">(F5*H5)/G5</f>
        <v>0.2782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165" t="s">
        <v>342</v>
      </c>
      <c r="B6" s="160" t="s">
        <v>203</v>
      </c>
      <c r="C6" s="160">
        <v>5.0</v>
      </c>
      <c r="D6" s="161">
        <v>6.0</v>
      </c>
      <c r="E6" s="161">
        <v>8.0</v>
      </c>
      <c r="F6" s="161">
        <v>9.0</v>
      </c>
      <c r="G6" s="160">
        <v>12.0</v>
      </c>
      <c r="H6" s="162">
        <v>2.5</v>
      </c>
      <c r="I6" s="163">
        <f t="shared" si="1"/>
        <v>1.041666667</v>
      </c>
      <c r="J6" s="118">
        <f t="shared" si="2"/>
        <v>0.225</v>
      </c>
      <c r="K6" s="164">
        <f t="shared" si="3"/>
        <v>1.666666667</v>
      </c>
      <c r="L6" s="164">
        <f t="shared" si="4"/>
        <v>1.875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65" t="s">
        <v>306</v>
      </c>
      <c r="B7" s="160" t="s">
        <v>304</v>
      </c>
      <c r="C7" s="160">
        <v>150.0</v>
      </c>
      <c r="D7" s="161">
        <v>180.0</v>
      </c>
      <c r="E7" s="161">
        <v>240.0</v>
      </c>
      <c r="F7" s="161">
        <v>270.0</v>
      </c>
      <c r="G7" s="160">
        <v>1000.0</v>
      </c>
      <c r="H7" s="162">
        <v>1.25</v>
      </c>
      <c r="I7" s="163">
        <f t="shared" si="1"/>
        <v>0.1875</v>
      </c>
      <c r="J7" s="118">
        <f t="shared" si="2"/>
        <v>0.2923728814</v>
      </c>
      <c r="K7" s="164">
        <f t="shared" si="3"/>
        <v>0.3</v>
      </c>
      <c r="L7" s="164">
        <f t="shared" si="4"/>
        <v>0.3375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62"/>
      <c r="B8" s="160" t="s">
        <v>207</v>
      </c>
      <c r="C8" s="161">
        <v>5.0</v>
      </c>
      <c r="D8" s="161">
        <v>10.0</v>
      </c>
      <c r="E8" s="161">
        <v>10.0</v>
      </c>
      <c r="F8" s="161">
        <v>10.0</v>
      </c>
      <c r="G8" s="161">
        <v>236.0</v>
      </c>
      <c r="H8" s="162">
        <v>6.9</v>
      </c>
      <c r="I8" s="163">
        <f t="shared" si="1"/>
        <v>0.1461864407</v>
      </c>
      <c r="J8" s="118">
        <f t="shared" si="2"/>
        <v>0.72</v>
      </c>
      <c r="K8" s="164">
        <f t="shared" si="3"/>
        <v>0.2923728814</v>
      </c>
      <c r="L8" s="164">
        <f t="shared" si="4"/>
        <v>0.2923728814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33"/>
      <c r="B9" s="166" t="s">
        <v>274</v>
      </c>
      <c r="C9" s="166">
        <v>30.0</v>
      </c>
      <c r="D9" s="166">
        <v>30.0</v>
      </c>
      <c r="E9" s="166">
        <v>40.0</v>
      </c>
      <c r="F9" s="166">
        <v>50.0</v>
      </c>
      <c r="G9" s="166">
        <v>250.0</v>
      </c>
      <c r="H9" s="167">
        <v>6.0</v>
      </c>
      <c r="I9" s="163">
        <f t="shared" si="1"/>
        <v>0.72</v>
      </c>
      <c r="J9" s="118">
        <f t="shared" si="2"/>
        <v>0.07475</v>
      </c>
      <c r="K9" s="164">
        <f t="shared" si="3"/>
        <v>0.96</v>
      </c>
      <c r="L9" s="164">
        <f t="shared" si="4"/>
        <v>1.2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33"/>
      <c r="B10" s="166" t="s">
        <v>244</v>
      </c>
      <c r="C10" s="166">
        <v>20.0</v>
      </c>
      <c r="D10" s="166">
        <v>10.0</v>
      </c>
      <c r="E10" s="166">
        <v>10.0</v>
      </c>
      <c r="F10" s="166">
        <v>10.0</v>
      </c>
      <c r="G10" s="166">
        <v>400.0</v>
      </c>
      <c r="H10" s="167">
        <v>2.99</v>
      </c>
      <c r="I10" s="163">
        <f t="shared" si="1"/>
        <v>0.1495</v>
      </c>
      <c r="J10" s="118">
        <f>D10*H10/G10</f>
        <v>0.07475</v>
      </c>
      <c r="K10" s="164">
        <f t="shared" si="3"/>
        <v>0.07475</v>
      </c>
      <c r="L10" s="164">
        <f t="shared" si="4"/>
        <v>0.07475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33"/>
      <c r="B11" s="77"/>
      <c r="C11" s="77"/>
      <c r="D11" s="77"/>
      <c r="E11" s="77"/>
      <c r="F11" s="77"/>
      <c r="G11" s="77"/>
      <c r="H11" s="168"/>
      <c r="I11" s="169">
        <f t="shared" ref="I11:L11" si="5">SUM(I5:I10)</f>
        <v>2.394653107</v>
      </c>
      <c r="J11" s="121">
        <f t="shared" si="5"/>
        <v>2.636872881</v>
      </c>
      <c r="K11" s="170">
        <f t="shared" si="5"/>
        <v>3.539889548</v>
      </c>
      <c r="L11" s="170">
        <f t="shared" si="5"/>
        <v>4.057822881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6" t="s">
        <v>304</v>
      </c>
      <c r="C13" s="126">
        <v>100.0</v>
      </c>
      <c r="D13" s="126">
        <v>120.0</v>
      </c>
      <c r="E13" s="126">
        <v>150.0</v>
      </c>
      <c r="F13" s="126">
        <v>200.0</v>
      </c>
      <c r="G13" s="126">
        <v>1000.0</v>
      </c>
      <c r="H13" s="126">
        <v>1.25</v>
      </c>
      <c r="I13" s="127">
        <f t="shared" ref="I13:I15" si="6">(C13*H13)/G13</f>
        <v>0.125</v>
      </c>
      <c r="J13" s="128">
        <f t="shared" ref="J13:J15" si="7">D13*H13/G13</f>
        <v>0.15</v>
      </c>
      <c r="K13" s="127">
        <f t="shared" ref="K13:K15" si="8">(E13*H13)/G13</f>
        <v>0.1875</v>
      </c>
      <c r="L13" s="127">
        <f t="shared" ref="L13:L15" si="9">(F13*H13)/G13</f>
        <v>0.25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9" t="s">
        <v>305</v>
      </c>
      <c r="B14" s="126" t="s">
        <v>206</v>
      </c>
      <c r="C14" s="126">
        <v>100.0</v>
      </c>
      <c r="D14" s="126">
        <v>120.0</v>
      </c>
      <c r="E14" s="126">
        <v>150.0</v>
      </c>
      <c r="F14" s="126">
        <v>200.0</v>
      </c>
      <c r="G14" s="126">
        <v>1000.0</v>
      </c>
      <c r="H14" s="126">
        <v>0.25</v>
      </c>
      <c r="I14" s="127">
        <f t="shared" si="6"/>
        <v>0.025</v>
      </c>
      <c r="J14" s="128">
        <f t="shared" si="7"/>
        <v>0.03</v>
      </c>
      <c r="K14" s="127">
        <f t="shared" si="8"/>
        <v>0.0375</v>
      </c>
      <c r="L14" s="127">
        <f t="shared" si="9"/>
        <v>0.05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5"/>
      <c r="B15" s="126" t="s">
        <v>207</v>
      </c>
      <c r="C15" s="126">
        <v>3.0</v>
      </c>
      <c r="D15" s="126">
        <v>4.0</v>
      </c>
      <c r="E15" s="126">
        <v>5.0</v>
      </c>
      <c r="F15" s="126">
        <v>9.0</v>
      </c>
      <c r="G15" s="126">
        <v>236.0</v>
      </c>
      <c r="H15" s="126">
        <v>6.9</v>
      </c>
      <c r="I15" s="127">
        <f t="shared" si="6"/>
        <v>0.08771186441</v>
      </c>
      <c r="J15" s="128">
        <f t="shared" si="7"/>
        <v>0.1169491525</v>
      </c>
      <c r="K15" s="127">
        <f t="shared" si="8"/>
        <v>0.1461864407</v>
      </c>
      <c r="L15" s="127">
        <f t="shared" si="9"/>
        <v>0.2631355932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5"/>
      <c r="C16" s="125"/>
      <c r="D16" s="125"/>
      <c r="E16" s="125"/>
      <c r="F16" s="125"/>
      <c r="G16" s="125"/>
      <c r="H16" s="125"/>
      <c r="I16" s="130">
        <f t="shared" ref="I16:L16" si="10">SUM(I13:I15)</f>
        <v>0.2377118644</v>
      </c>
      <c r="J16" s="131">
        <f t="shared" si="10"/>
        <v>0.2969491525</v>
      </c>
      <c r="K16" s="130">
        <f t="shared" si="10"/>
        <v>0.3711864407</v>
      </c>
      <c r="L16" s="130">
        <f t="shared" si="10"/>
        <v>0.5631355932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71" t="s">
        <v>308</v>
      </c>
      <c r="C18" s="171">
        <v>300.0</v>
      </c>
      <c r="D18" s="171">
        <v>400.0</v>
      </c>
      <c r="E18" s="171">
        <v>500.0</v>
      </c>
      <c r="F18" s="171">
        <v>600.0</v>
      </c>
      <c r="G18" s="171">
        <v>600.0</v>
      </c>
      <c r="H18" s="171">
        <v>2.36</v>
      </c>
      <c r="I18" s="172">
        <f t="shared" ref="I18:I22" si="11">(C18*H18)/G18</f>
        <v>1.18</v>
      </c>
      <c r="J18" s="172">
        <f t="shared" ref="J18:J22" si="12">(D18*H18)/G18</f>
        <v>1.573333333</v>
      </c>
      <c r="K18" s="172">
        <f t="shared" ref="K18:K22" si="13">(E18*H18)/G18</f>
        <v>1.966666667</v>
      </c>
      <c r="L18" s="172">
        <f t="shared" ref="L18:L22" si="14">(F18*H18)/G18</f>
        <v>2.36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50" t="s">
        <v>344</v>
      </c>
      <c r="B19" s="171" t="s">
        <v>345</v>
      </c>
      <c r="C19" s="171">
        <v>100.0</v>
      </c>
      <c r="D19" s="171">
        <v>150.0</v>
      </c>
      <c r="E19" s="171">
        <v>200.0</v>
      </c>
      <c r="F19" s="171">
        <v>200.0</v>
      </c>
      <c r="G19" s="171">
        <v>250.0</v>
      </c>
      <c r="H19" s="171">
        <v>2.0</v>
      </c>
      <c r="I19" s="172">
        <f t="shared" si="11"/>
        <v>0.8</v>
      </c>
      <c r="J19" s="172">
        <f t="shared" si="12"/>
        <v>1.2</v>
      </c>
      <c r="K19" s="172">
        <f t="shared" si="13"/>
        <v>1.6</v>
      </c>
      <c r="L19" s="172">
        <f t="shared" si="14"/>
        <v>1.6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50" t="s">
        <v>450</v>
      </c>
      <c r="B20" s="171" t="s">
        <v>451</v>
      </c>
      <c r="C20" s="171">
        <v>108.0</v>
      </c>
      <c r="D20" s="171">
        <v>108.0</v>
      </c>
      <c r="E20" s="171">
        <v>108.0</v>
      </c>
      <c r="F20" s="171">
        <v>150.0</v>
      </c>
      <c r="G20" s="171">
        <v>108.0</v>
      </c>
      <c r="H20" s="171">
        <v>2.99</v>
      </c>
      <c r="I20" s="172">
        <f t="shared" si="11"/>
        <v>2.99</v>
      </c>
      <c r="J20" s="172">
        <f t="shared" si="12"/>
        <v>2.99</v>
      </c>
      <c r="K20" s="172">
        <f t="shared" si="13"/>
        <v>2.99</v>
      </c>
      <c r="L20" s="172">
        <f t="shared" si="14"/>
        <v>4.152777778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50"/>
      <c r="B21" s="171" t="s">
        <v>348</v>
      </c>
      <c r="C21" s="171">
        <v>80.0</v>
      </c>
      <c r="D21" s="171">
        <v>90.0</v>
      </c>
      <c r="E21" s="171">
        <v>100.0</v>
      </c>
      <c r="F21" s="171">
        <v>120.0</v>
      </c>
      <c r="G21" s="171">
        <v>1000.0</v>
      </c>
      <c r="H21" s="171">
        <v>1.49</v>
      </c>
      <c r="I21" s="172">
        <f t="shared" si="11"/>
        <v>0.1192</v>
      </c>
      <c r="J21" s="172">
        <f t="shared" si="12"/>
        <v>0.1341</v>
      </c>
      <c r="K21" s="172">
        <f t="shared" si="13"/>
        <v>0.149</v>
      </c>
      <c r="L21" s="172">
        <f t="shared" si="14"/>
        <v>0.1788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25"/>
      <c r="B22" s="171" t="s">
        <v>207</v>
      </c>
      <c r="C22" s="171">
        <v>5.0</v>
      </c>
      <c r="D22" s="171">
        <v>7.0</v>
      </c>
      <c r="E22" s="171">
        <v>9.0</v>
      </c>
      <c r="F22" s="171">
        <v>8.0</v>
      </c>
      <c r="G22" s="171">
        <v>236.0</v>
      </c>
      <c r="H22" s="171">
        <v>6.9</v>
      </c>
      <c r="I22" s="172">
        <f t="shared" si="11"/>
        <v>0.1461864407</v>
      </c>
      <c r="J22" s="172">
        <f t="shared" si="12"/>
        <v>0.2046610169</v>
      </c>
      <c r="K22" s="172">
        <f t="shared" si="13"/>
        <v>0.2631355932</v>
      </c>
      <c r="L22" s="172">
        <f t="shared" si="14"/>
        <v>0.2338983051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25"/>
      <c r="C23" s="125"/>
      <c r="D23" s="125"/>
      <c r="E23" s="125"/>
      <c r="F23" s="125"/>
      <c r="G23" s="125"/>
      <c r="H23" s="125"/>
      <c r="I23" s="173">
        <f t="shared" ref="I23:L23" si="15">SUM(I18:I22)</f>
        <v>5.235386441</v>
      </c>
      <c r="J23" s="173">
        <f t="shared" si="15"/>
        <v>6.10209435</v>
      </c>
      <c r="K23" s="173">
        <f t="shared" si="15"/>
        <v>6.96880226</v>
      </c>
      <c r="L23" s="173">
        <f t="shared" si="15"/>
        <v>8.525476083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38" t="s">
        <v>311</v>
      </c>
      <c r="B25" s="139" t="s">
        <v>308</v>
      </c>
      <c r="C25" s="139">
        <v>150.0</v>
      </c>
      <c r="D25" s="139">
        <v>200.0</v>
      </c>
      <c r="E25" s="139">
        <v>200.0</v>
      </c>
      <c r="F25" s="139">
        <v>450.0</v>
      </c>
      <c r="G25" s="139">
        <v>600.0</v>
      </c>
      <c r="H25" s="139">
        <v>2.36</v>
      </c>
      <c r="I25" s="140">
        <f t="shared" ref="I25:I28" si="16">(C25*H25)/G25</f>
        <v>0.59</v>
      </c>
      <c r="J25" s="140">
        <f t="shared" ref="J25:J28" si="17">(D25*H25)/G25</f>
        <v>0.7866666667</v>
      </c>
      <c r="K25" s="140">
        <f t="shared" ref="K25:K28" si="18">(E25*H25)/G25</f>
        <v>0.7866666667</v>
      </c>
      <c r="L25" s="140">
        <f t="shared" ref="L25:L28" si="19">(F25*H25)/G25</f>
        <v>1.77</v>
      </c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38" t="s">
        <v>349</v>
      </c>
      <c r="B26" s="139" t="s">
        <v>306</v>
      </c>
      <c r="C26" s="139">
        <v>500.0</v>
      </c>
      <c r="D26" s="139">
        <v>600.0</v>
      </c>
      <c r="E26" s="139">
        <v>600.0</v>
      </c>
      <c r="F26" s="139">
        <v>900.0</v>
      </c>
      <c r="G26" s="139">
        <v>100.0</v>
      </c>
      <c r="H26" s="139">
        <v>1.15</v>
      </c>
      <c r="I26" s="140">
        <f t="shared" si="16"/>
        <v>5.75</v>
      </c>
      <c r="J26" s="140">
        <f t="shared" si="17"/>
        <v>6.9</v>
      </c>
      <c r="K26" s="140">
        <f t="shared" si="18"/>
        <v>6.9</v>
      </c>
      <c r="L26" s="140">
        <f t="shared" si="19"/>
        <v>10.35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38" t="s">
        <v>109</v>
      </c>
      <c r="B27" s="139" t="s">
        <v>451</v>
      </c>
      <c r="C27" s="139">
        <v>0.0</v>
      </c>
      <c r="D27" s="139">
        <v>0.0</v>
      </c>
      <c r="E27" s="139">
        <v>0.0</v>
      </c>
      <c r="F27" s="139">
        <v>0.0</v>
      </c>
      <c r="G27" s="139">
        <v>108.0</v>
      </c>
      <c r="H27" s="139">
        <v>2.99</v>
      </c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41"/>
      <c r="B28" s="139" t="s">
        <v>451</v>
      </c>
      <c r="C28" s="139">
        <v>200.0</v>
      </c>
      <c r="D28" s="139">
        <v>250.0</v>
      </c>
      <c r="E28" s="139">
        <v>300.0</v>
      </c>
      <c r="F28" s="139">
        <v>300.0</v>
      </c>
      <c r="G28" s="139">
        <v>108.0</v>
      </c>
      <c r="H28" s="139">
        <v>2.99</v>
      </c>
      <c r="I28" s="140">
        <f t="shared" si="16"/>
        <v>5.537037037</v>
      </c>
      <c r="J28" s="140">
        <f t="shared" si="17"/>
        <v>6.921296296</v>
      </c>
      <c r="K28" s="140">
        <f t="shared" si="18"/>
        <v>8.305555556</v>
      </c>
      <c r="L28" s="140">
        <f t="shared" si="19"/>
        <v>8.305555556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25"/>
      <c r="B29" s="125"/>
      <c r="C29" s="125"/>
      <c r="D29" s="125"/>
      <c r="E29" s="125"/>
      <c r="F29" s="125"/>
      <c r="G29" s="125"/>
      <c r="H29" s="125"/>
      <c r="I29" s="142">
        <f t="shared" ref="I29:L29" si="20">SUM(I25:I28)</f>
        <v>11.87703704</v>
      </c>
      <c r="J29" s="142">
        <f t="shared" si="20"/>
        <v>14.60796296</v>
      </c>
      <c r="K29" s="142">
        <f t="shared" si="20"/>
        <v>15.99222222</v>
      </c>
      <c r="L29" s="142">
        <f t="shared" si="20"/>
        <v>20.42555556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43" t="s">
        <v>317</v>
      </c>
      <c r="C31" s="144">
        <v>1.0</v>
      </c>
      <c r="D31" s="144">
        <v>1.0</v>
      </c>
      <c r="E31" s="144">
        <v>1.0</v>
      </c>
      <c r="F31" s="144">
        <v>1.0</v>
      </c>
      <c r="G31" s="143">
        <v>20.0</v>
      </c>
      <c r="H31" s="143">
        <v>1.13</v>
      </c>
      <c r="I31" s="144">
        <f t="shared" ref="I31:I35" si="21">(C31*H31)/G31</f>
        <v>0.0565</v>
      </c>
      <c r="J31" s="128">
        <f t="shared" ref="J31:J35" si="22">D31*H31/G31</f>
        <v>0.0565</v>
      </c>
      <c r="K31" s="144">
        <f t="shared" ref="K31:K35" si="23">(C31*H31)/G31</f>
        <v>0.0565</v>
      </c>
      <c r="L31" s="144">
        <f t="shared" ref="L31:L35" si="24">(F31*H31)/G31</f>
        <v>0.0565</v>
      </c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43" t="s">
        <v>318</v>
      </c>
      <c r="C32" s="144">
        <v>1.0</v>
      </c>
      <c r="D32" s="144">
        <v>1.0</v>
      </c>
      <c r="E32" s="144">
        <v>1.0</v>
      </c>
      <c r="F32" s="144">
        <v>1.0</v>
      </c>
      <c r="G32" s="143">
        <v>1000.0</v>
      </c>
      <c r="H32" s="143">
        <v>2.05</v>
      </c>
      <c r="I32" s="144">
        <f t="shared" si="21"/>
        <v>0.00205</v>
      </c>
      <c r="J32" s="128">
        <f t="shared" si="22"/>
        <v>0.00205</v>
      </c>
      <c r="K32" s="144">
        <f t="shared" si="23"/>
        <v>0.00205</v>
      </c>
      <c r="L32" s="144">
        <f t="shared" si="24"/>
        <v>0.00205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43" t="s">
        <v>204</v>
      </c>
      <c r="C33" s="143">
        <v>30.0</v>
      </c>
      <c r="D33" s="143">
        <v>30.0</v>
      </c>
      <c r="E33" s="143">
        <v>35.0</v>
      </c>
      <c r="F33" s="143">
        <v>40.0</v>
      </c>
      <c r="G33" s="143">
        <v>60.0</v>
      </c>
      <c r="H33" s="143">
        <v>1.0</v>
      </c>
      <c r="I33" s="144">
        <f t="shared" si="21"/>
        <v>0.5</v>
      </c>
      <c r="J33" s="128">
        <f t="shared" si="22"/>
        <v>0.5</v>
      </c>
      <c r="K33" s="144">
        <f t="shared" si="23"/>
        <v>0.5</v>
      </c>
      <c r="L33" s="144">
        <f t="shared" si="24"/>
        <v>0.6666666667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45" t="s">
        <v>319</v>
      </c>
      <c r="B34" s="143" t="s">
        <v>206</v>
      </c>
      <c r="C34" s="143">
        <v>12.0</v>
      </c>
      <c r="D34" s="143">
        <v>12.0</v>
      </c>
      <c r="E34" s="143">
        <v>12.0</v>
      </c>
      <c r="F34" s="143">
        <v>12.0</v>
      </c>
      <c r="G34" s="143">
        <v>1000.0</v>
      </c>
      <c r="H34" s="143">
        <v>1.97</v>
      </c>
      <c r="I34" s="144">
        <f t="shared" si="21"/>
        <v>0.02364</v>
      </c>
      <c r="J34" s="128">
        <f t="shared" si="22"/>
        <v>0.02364</v>
      </c>
      <c r="K34" s="144">
        <f t="shared" si="23"/>
        <v>0.02364</v>
      </c>
      <c r="L34" s="144">
        <f t="shared" si="24"/>
        <v>0.02364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45" t="s">
        <v>320</v>
      </c>
      <c r="B35" s="143" t="s">
        <v>208</v>
      </c>
      <c r="C35" s="143">
        <v>12.0</v>
      </c>
      <c r="D35" s="143">
        <v>12.0</v>
      </c>
      <c r="E35" s="143">
        <v>12.0</v>
      </c>
      <c r="F35" s="143">
        <v>12.0</v>
      </c>
      <c r="G35" s="143">
        <v>60.0</v>
      </c>
      <c r="H35" s="143">
        <v>1.0</v>
      </c>
      <c r="I35" s="144">
        <f t="shared" si="21"/>
        <v>0.2</v>
      </c>
      <c r="J35" s="128">
        <f t="shared" si="22"/>
        <v>0.2</v>
      </c>
      <c r="K35" s="144">
        <f t="shared" si="23"/>
        <v>0.2</v>
      </c>
      <c r="L35" s="144">
        <f t="shared" si="24"/>
        <v>0.2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25"/>
      <c r="B36" s="144"/>
      <c r="C36" s="144"/>
      <c r="D36" s="144"/>
      <c r="E36" s="144"/>
      <c r="F36" s="144"/>
      <c r="G36" s="144"/>
      <c r="H36" s="144"/>
      <c r="I36" s="144"/>
      <c r="J36" s="128"/>
      <c r="K36" s="144"/>
      <c r="L36" s="144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44"/>
      <c r="C37" s="144"/>
      <c r="D37" s="144"/>
      <c r="E37" s="144"/>
      <c r="F37" s="144"/>
      <c r="G37" s="144"/>
      <c r="H37" s="144"/>
      <c r="I37" s="144"/>
      <c r="J37" s="128"/>
      <c r="K37" s="144"/>
      <c r="L37" s="144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44"/>
      <c r="C38" s="144"/>
      <c r="D38" s="144"/>
      <c r="E38" s="144"/>
      <c r="F38" s="144"/>
      <c r="G38" s="144"/>
      <c r="H38" s="144"/>
      <c r="I38" s="144"/>
      <c r="J38" s="128"/>
      <c r="K38" s="144"/>
      <c r="L38" s="14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146"/>
      <c r="C39" s="146"/>
      <c r="D39" s="146"/>
      <c r="E39" s="146"/>
      <c r="F39" s="146"/>
      <c r="G39" s="146"/>
      <c r="H39" s="146"/>
      <c r="I39" s="147">
        <f t="shared" ref="I39:L39" si="25">SUM(I31:I38)</f>
        <v>0.78219</v>
      </c>
      <c r="J39" s="128">
        <f t="shared" si="25"/>
        <v>0.78219</v>
      </c>
      <c r="K39" s="147">
        <f t="shared" si="25"/>
        <v>0.78219</v>
      </c>
      <c r="L39" s="147">
        <f t="shared" si="25"/>
        <v>0.9488566667</v>
      </c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48" t="s">
        <v>322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1.8</v>
      </c>
      <c r="I42" s="149">
        <f t="shared" ref="I42:I51" si="26">(C42*H42)/G42</f>
        <v>1.8</v>
      </c>
      <c r="J42" s="149">
        <f t="shared" ref="J42:J51" si="27">(C42*H42)/G42</f>
        <v>1.8</v>
      </c>
      <c r="K42" s="149">
        <f t="shared" ref="K42:K51" si="28">(E42*H42)/G42</f>
        <v>1.8</v>
      </c>
      <c r="L42" s="149">
        <f t="shared" ref="L42:L51" si="29">(F42*H42)/G42</f>
        <v>1.8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41"/>
      <c r="B43" s="148" t="s">
        <v>323</v>
      </c>
      <c r="C43" s="148">
        <v>1.0</v>
      </c>
      <c r="D43" s="148">
        <v>1.0</v>
      </c>
      <c r="E43" s="148">
        <v>1.0</v>
      </c>
      <c r="F43" s="148">
        <v>1.0</v>
      </c>
      <c r="G43" s="148">
        <v>6.0</v>
      </c>
      <c r="H43" s="148">
        <v>1.0</v>
      </c>
      <c r="I43" s="149">
        <f t="shared" si="26"/>
        <v>0.1666666667</v>
      </c>
      <c r="J43" s="149">
        <f t="shared" si="27"/>
        <v>0.1666666667</v>
      </c>
      <c r="K43" s="149">
        <f t="shared" si="28"/>
        <v>0.1666666667</v>
      </c>
      <c r="L43" s="149">
        <f t="shared" si="29"/>
        <v>0.1666666667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25"/>
      <c r="B44" s="148" t="s">
        <v>324</v>
      </c>
      <c r="C44" s="148">
        <v>1.0</v>
      </c>
      <c r="D44" s="148">
        <v>1.0</v>
      </c>
      <c r="E44" s="148">
        <v>1.0</v>
      </c>
      <c r="F44" s="148">
        <v>0.0</v>
      </c>
      <c r="G44" s="148">
        <v>1.0</v>
      </c>
      <c r="H44" s="148">
        <v>0.9</v>
      </c>
      <c r="I44" s="149">
        <f t="shared" si="26"/>
        <v>0.9</v>
      </c>
      <c r="J44" s="149">
        <f t="shared" si="27"/>
        <v>0.9</v>
      </c>
      <c r="K44" s="149">
        <f t="shared" si="28"/>
        <v>0.9</v>
      </c>
      <c r="L44" s="149">
        <f t="shared" si="29"/>
        <v>0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50" t="s">
        <v>325</v>
      </c>
      <c r="B45" s="148" t="s">
        <v>326</v>
      </c>
      <c r="C45" s="148">
        <v>1.0</v>
      </c>
      <c r="D45" s="148">
        <v>1.0</v>
      </c>
      <c r="E45" s="148">
        <v>1.0</v>
      </c>
      <c r="F45" s="148">
        <v>0.0</v>
      </c>
      <c r="G45" s="148">
        <v>1.0</v>
      </c>
      <c r="H45" s="148">
        <v>2.0</v>
      </c>
      <c r="I45" s="149">
        <f t="shared" si="26"/>
        <v>2</v>
      </c>
      <c r="J45" s="149">
        <f t="shared" si="27"/>
        <v>2</v>
      </c>
      <c r="K45" s="149">
        <f t="shared" si="28"/>
        <v>2</v>
      </c>
      <c r="L45" s="149">
        <f t="shared" si="29"/>
        <v>0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25"/>
      <c r="B46" s="148" t="s">
        <v>327</v>
      </c>
      <c r="C46" s="148">
        <v>1.0</v>
      </c>
      <c r="D46" s="148">
        <v>1.0</v>
      </c>
      <c r="E46" s="148">
        <v>1.0</v>
      </c>
      <c r="F46" s="148">
        <v>1.0</v>
      </c>
      <c r="G46" s="148">
        <v>500.0</v>
      </c>
      <c r="H46" s="148">
        <v>0.85</v>
      </c>
      <c r="I46" s="149">
        <f t="shared" si="26"/>
        <v>0.0017</v>
      </c>
      <c r="J46" s="149">
        <f t="shared" si="27"/>
        <v>0.0017</v>
      </c>
      <c r="K46" s="149">
        <f t="shared" si="28"/>
        <v>0.0017</v>
      </c>
      <c r="L46" s="149">
        <f t="shared" si="29"/>
        <v>0.0017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48" t="s">
        <v>328</v>
      </c>
      <c r="C47" s="148">
        <v>2.0</v>
      </c>
      <c r="D47" s="148">
        <v>2.0</v>
      </c>
      <c r="E47" s="148">
        <v>2.0</v>
      </c>
      <c r="F47" s="148">
        <v>1.0</v>
      </c>
      <c r="G47" s="148">
        <v>2.0</v>
      </c>
      <c r="H47" s="148">
        <v>0.18</v>
      </c>
      <c r="I47" s="149">
        <f t="shared" si="26"/>
        <v>0.18</v>
      </c>
      <c r="J47" s="149">
        <f t="shared" si="27"/>
        <v>0.18</v>
      </c>
      <c r="K47" s="149">
        <f t="shared" si="28"/>
        <v>0.18</v>
      </c>
      <c r="L47" s="149">
        <f t="shared" si="29"/>
        <v>0.09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48" t="s">
        <v>351</v>
      </c>
      <c r="C48" s="148">
        <v>0.0</v>
      </c>
      <c r="D48" s="148">
        <v>0.0</v>
      </c>
      <c r="E48" s="148">
        <v>0.0</v>
      </c>
      <c r="F48" s="148">
        <v>1.0</v>
      </c>
      <c r="G48" s="148">
        <v>1.0</v>
      </c>
      <c r="H48" s="148">
        <v>0.9</v>
      </c>
      <c r="I48" s="149">
        <f t="shared" si="26"/>
        <v>0</v>
      </c>
      <c r="J48" s="149">
        <f t="shared" si="27"/>
        <v>0</v>
      </c>
      <c r="K48" s="149">
        <f t="shared" si="28"/>
        <v>0</v>
      </c>
      <c r="L48" s="149">
        <f t="shared" si="29"/>
        <v>0.9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48" t="s">
        <v>352</v>
      </c>
      <c r="C49" s="148">
        <v>0.0</v>
      </c>
      <c r="D49" s="148">
        <v>0.0</v>
      </c>
      <c r="E49" s="148">
        <v>0.0</v>
      </c>
      <c r="F49" s="148">
        <v>1.0</v>
      </c>
      <c r="G49" s="148">
        <v>1.0</v>
      </c>
      <c r="H49" s="148">
        <v>2.0</v>
      </c>
      <c r="I49" s="149">
        <f t="shared" si="26"/>
        <v>0</v>
      </c>
      <c r="J49" s="149">
        <f t="shared" si="27"/>
        <v>0</v>
      </c>
      <c r="K49" s="149">
        <f t="shared" si="28"/>
        <v>0</v>
      </c>
      <c r="L49" s="149">
        <f t="shared" si="29"/>
        <v>2</v>
      </c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48" t="s">
        <v>329</v>
      </c>
      <c r="C50" s="148">
        <v>10.0</v>
      </c>
      <c r="D50" s="148">
        <v>10.0</v>
      </c>
      <c r="E50" s="148">
        <v>10.0</v>
      </c>
      <c r="F50" s="148">
        <v>12.0</v>
      </c>
      <c r="G50" s="148">
        <v>100.0</v>
      </c>
      <c r="H50" s="148">
        <v>6.0</v>
      </c>
      <c r="I50" s="149">
        <f t="shared" si="26"/>
        <v>0.6</v>
      </c>
      <c r="J50" s="149">
        <f t="shared" si="27"/>
        <v>0.6</v>
      </c>
      <c r="K50" s="149">
        <f t="shared" si="28"/>
        <v>0.6</v>
      </c>
      <c r="L50" s="149">
        <f t="shared" si="29"/>
        <v>0.72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48" t="s">
        <v>330</v>
      </c>
      <c r="C51" s="148">
        <v>3.0</v>
      </c>
      <c r="D51" s="148">
        <v>3.0</v>
      </c>
      <c r="E51" s="148">
        <v>3.0</v>
      </c>
      <c r="F51" s="148">
        <v>3.0</v>
      </c>
      <c r="G51" s="148">
        <v>10.0</v>
      </c>
      <c r="H51" s="148">
        <v>10.0</v>
      </c>
      <c r="I51" s="149">
        <f t="shared" si="26"/>
        <v>3</v>
      </c>
      <c r="J51" s="149">
        <f t="shared" si="27"/>
        <v>3</v>
      </c>
      <c r="K51" s="149">
        <f t="shared" si="28"/>
        <v>3</v>
      </c>
      <c r="L51" s="149">
        <f t="shared" si="29"/>
        <v>3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25"/>
      <c r="C52" s="125"/>
      <c r="D52" s="125"/>
      <c r="E52" s="125"/>
      <c r="F52" s="125"/>
      <c r="G52" s="125"/>
      <c r="H52" s="125"/>
      <c r="I52" s="151">
        <f t="shared" ref="I52:L52" si="30">SUM(I42:I51)</f>
        <v>8.648366667</v>
      </c>
      <c r="J52" s="151">
        <f t="shared" si="30"/>
        <v>8.648366667</v>
      </c>
      <c r="K52" s="151">
        <f t="shared" si="30"/>
        <v>8.648366667</v>
      </c>
      <c r="L52" s="151">
        <f t="shared" si="30"/>
        <v>8.678366667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5"/>
      <c r="C53" s="125"/>
      <c r="D53" s="125"/>
      <c r="E53" s="125"/>
      <c r="F53" s="125"/>
      <c r="G53" s="125"/>
      <c r="H53" s="125"/>
      <c r="I53" s="174" t="s">
        <v>353</v>
      </c>
      <c r="J53" s="174" t="s">
        <v>354</v>
      </c>
      <c r="K53" s="174" t="s">
        <v>355</v>
      </c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5"/>
      <c r="C54" s="125"/>
      <c r="D54" s="125"/>
      <c r="E54" s="125"/>
      <c r="F54" s="125"/>
      <c r="G54" s="125"/>
      <c r="H54" s="246" t="s">
        <v>331</v>
      </c>
      <c r="I54" s="249">
        <f t="shared" ref="I54:L54" si="31">SUM(I11+I16+I23+I29+I39+I52)</f>
        <v>29.17534512</v>
      </c>
      <c r="J54" s="249">
        <f t="shared" si="31"/>
        <v>33.07443601</v>
      </c>
      <c r="K54" s="249">
        <f t="shared" si="31"/>
        <v>36.30265714</v>
      </c>
      <c r="L54" s="249">
        <f t="shared" si="31"/>
        <v>43.19921345</v>
      </c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5"/>
      <c r="C55" s="125"/>
      <c r="D55" s="125"/>
      <c r="E55" s="125"/>
      <c r="F55" s="125"/>
      <c r="G55" s="125"/>
      <c r="H55" s="246" t="s">
        <v>238</v>
      </c>
      <c r="I55" s="246">
        <v>40.0</v>
      </c>
      <c r="J55" s="246">
        <v>45.0</v>
      </c>
      <c r="K55" s="246">
        <v>50.0</v>
      </c>
      <c r="L55" s="174">
        <v>55.0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/>
      <c r="D56" s="125"/>
      <c r="E56" s="125"/>
      <c r="F56" s="125"/>
      <c r="G56" s="125"/>
      <c r="H56" s="250" t="s">
        <v>356</v>
      </c>
      <c r="I56" s="251">
        <f t="shared" ref="I56:K56" si="32">I55-I54</f>
        <v>10.82465488</v>
      </c>
      <c r="J56" s="251">
        <f t="shared" si="32"/>
        <v>11.92556399</v>
      </c>
      <c r="K56" s="251">
        <f t="shared" si="32"/>
        <v>13.69734286</v>
      </c>
      <c r="L56" s="249">
        <f>SUM(L55-L54)</f>
        <v>11.80078655</v>
      </c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5"/>
      <c r="C57" s="125"/>
      <c r="D57" s="125"/>
      <c r="E57" s="125"/>
      <c r="F57" s="125"/>
      <c r="G57" s="125"/>
      <c r="H57" s="252"/>
      <c r="I57" s="252"/>
      <c r="J57" s="252"/>
      <c r="K57" s="252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125"/>
      <c r="D58" s="125"/>
      <c r="E58" s="125"/>
      <c r="F58" s="125"/>
      <c r="G58" s="125"/>
      <c r="H58" s="246"/>
      <c r="I58" s="116"/>
      <c r="J58" s="116"/>
      <c r="K58" s="116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5"/>
      <c r="C59" s="125"/>
      <c r="D59" s="125"/>
      <c r="E59" s="125"/>
      <c r="F59" s="125"/>
      <c r="G59" s="125"/>
      <c r="H59" s="246"/>
      <c r="I59" s="246"/>
      <c r="J59" s="246"/>
      <c r="K59" s="246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5"/>
      <c r="C60" s="125"/>
      <c r="D60" s="125"/>
      <c r="E60" s="125"/>
      <c r="F60" s="125"/>
      <c r="G60" s="125"/>
      <c r="H60" s="116"/>
      <c r="I60" s="116"/>
      <c r="J60" s="116"/>
      <c r="K60" s="116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5"/>
      <c r="C61" s="125"/>
      <c r="D61" s="125"/>
      <c r="E61" s="125"/>
      <c r="F61" s="125"/>
      <c r="G61" s="125"/>
      <c r="H61" s="253"/>
      <c r="I61" s="254"/>
      <c r="J61" s="254"/>
      <c r="K61" s="254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9" max="12" width="13.38"/>
  </cols>
  <sheetData>
    <row r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>
      <c r="A3" s="125"/>
      <c r="B3" s="125"/>
      <c r="C3" s="141" t="s">
        <v>443</v>
      </c>
      <c r="D3" s="141" t="s">
        <v>444</v>
      </c>
      <c r="E3" s="141" t="s">
        <v>445</v>
      </c>
      <c r="F3" s="141" t="s">
        <v>446</v>
      </c>
      <c r="G3" s="125"/>
      <c r="H3" s="125"/>
      <c r="I3" s="141" t="s">
        <v>443</v>
      </c>
      <c r="J3" s="141" t="s">
        <v>444</v>
      </c>
      <c r="K3" s="141" t="s">
        <v>445</v>
      </c>
      <c r="L3" s="141" t="s">
        <v>446</v>
      </c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</row>
    <row r="4">
      <c r="A4" s="125"/>
      <c r="B4" s="114" t="s">
        <v>193</v>
      </c>
      <c r="C4" s="113" t="s">
        <v>297</v>
      </c>
      <c r="D4" s="113" t="s">
        <v>447</v>
      </c>
      <c r="E4" s="113" t="s">
        <v>448</v>
      </c>
      <c r="F4" s="113" t="s">
        <v>449</v>
      </c>
      <c r="G4" s="113" t="s">
        <v>247</v>
      </c>
      <c r="H4" s="113" t="s">
        <v>248</v>
      </c>
      <c r="I4" s="113" t="s">
        <v>297</v>
      </c>
      <c r="J4" s="113" t="s">
        <v>447</v>
      </c>
      <c r="K4" s="113" t="s">
        <v>448</v>
      </c>
      <c r="L4" s="113" t="s">
        <v>449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</row>
    <row r="5">
      <c r="A5" s="62"/>
      <c r="B5" s="160" t="s">
        <v>205</v>
      </c>
      <c r="C5" s="161">
        <v>140.0</v>
      </c>
      <c r="D5" s="161">
        <v>180.0</v>
      </c>
      <c r="E5" s="161">
        <v>240.0</v>
      </c>
      <c r="F5" s="161">
        <v>270.0</v>
      </c>
      <c r="G5" s="160">
        <v>1000.0</v>
      </c>
      <c r="H5" s="162">
        <v>1.07</v>
      </c>
      <c r="I5" s="163">
        <f t="shared" ref="I5:I10" si="1">(C5*H5)/G5</f>
        <v>0.1498</v>
      </c>
      <c r="J5" s="164">
        <f t="shared" ref="J5:J10" si="2">(D5*H5)/G5</f>
        <v>0.1926</v>
      </c>
      <c r="K5" s="164">
        <f t="shared" ref="K5:K10" si="3">(E5*H5)/G5</f>
        <v>0.2568</v>
      </c>
      <c r="L5" s="164">
        <f t="shared" ref="L5:L10" si="4">(F5*H5)/G5</f>
        <v>0.2889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</row>
    <row r="6">
      <c r="A6" s="165" t="s">
        <v>342</v>
      </c>
      <c r="B6" s="160" t="s">
        <v>203</v>
      </c>
      <c r="C6" s="160">
        <v>5.0</v>
      </c>
      <c r="D6" s="161">
        <v>6.0</v>
      </c>
      <c r="E6" s="161">
        <v>8.0</v>
      </c>
      <c r="F6" s="161">
        <v>9.0</v>
      </c>
      <c r="G6" s="160">
        <v>12.0</v>
      </c>
      <c r="H6" s="162">
        <v>2.5</v>
      </c>
      <c r="I6" s="163">
        <f t="shared" si="1"/>
        <v>1.041666667</v>
      </c>
      <c r="J6" s="164">
        <f t="shared" si="2"/>
        <v>1.25</v>
      </c>
      <c r="K6" s="164">
        <f t="shared" si="3"/>
        <v>1.666666667</v>
      </c>
      <c r="L6" s="164">
        <f t="shared" si="4"/>
        <v>1.875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</row>
    <row r="7">
      <c r="A7" s="165" t="s">
        <v>306</v>
      </c>
      <c r="B7" s="160" t="s">
        <v>304</v>
      </c>
      <c r="C7" s="160">
        <v>150.0</v>
      </c>
      <c r="D7" s="161">
        <v>180.0</v>
      </c>
      <c r="E7" s="161">
        <v>240.0</v>
      </c>
      <c r="F7" s="161">
        <v>270.0</v>
      </c>
      <c r="G7" s="160">
        <v>1000.0</v>
      </c>
      <c r="H7" s="162">
        <v>1.49</v>
      </c>
      <c r="I7" s="163">
        <f t="shared" si="1"/>
        <v>0.2235</v>
      </c>
      <c r="J7" s="164">
        <f t="shared" si="2"/>
        <v>0.2682</v>
      </c>
      <c r="K7" s="164">
        <f t="shared" si="3"/>
        <v>0.3576</v>
      </c>
      <c r="L7" s="164">
        <f t="shared" si="4"/>
        <v>0.4023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</row>
    <row r="8">
      <c r="A8" s="62"/>
      <c r="B8" s="160" t="s">
        <v>207</v>
      </c>
      <c r="C8" s="161">
        <v>5.0</v>
      </c>
      <c r="D8" s="161">
        <v>10.0</v>
      </c>
      <c r="E8" s="161">
        <v>10.0</v>
      </c>
      <c r="F8" s="161">
        <v>15.0</v>
      </c>
      <c r="G8" s="161">
        <v>236.0</v>
      </c>
      <c r="H8" s="162">
        <v>6.9</v>
      </c>
      <c r="I8" s="163">
        <f t="shared" si="1"/>
        <v>0.1461864407</v>
      </c>
      <c r="J8" s="164">
        <f t="shared" si="2"/>
        <v>0.2923728814</v>
      </c>
      <c r="K8" s="164">
        <f t="shared" si="3"/>
        <v>0.2923728814</v>
      </c>
      <c r="L8" s="164">
        <f t="shared" si="4"/>
        <v>0.438559322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</row>
    <row r="9">
      <c r="A9" s="33"/>
      <c r="B9" s="166" t="s">
        <v>274</v>
      </c>
      <c r="C9" s="166">
        <v>30.0</v>
      </c>
      <c r="D9" s="166">
        <v>40.0</v>
      </c>
      <c r="E9" s="166">
        <v>50.0</v>
      </c>
      <c r="F9" s="166">
        <v>60.0</v>
      </c>
      <c r="G9" s="166">
        <v>250.0</v>
      </c>
      <c r="H9" s="167">
        <v>6.0</v>
      </c>
      <c r="I9" s="163">
        <f t="shared" si="1"/>
        <v>0.72</v>
      </c>
      <c r="J9" s="164">
        <f t="shared" si="2"/>
        <v>0.96</v>
      </c>
      <c r="K9" s="164">
        <f t="shared" si="3"/>
        <v>1.2</v>
      </c>
      <c r="L9" s="164">
        <f t="shared" si="4"/>
        <v>1.44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</row>
    <row r="10">
      <c r="A10" s="33"/>
      <c r="B10" s="166" t="s">
        <v>244</v>
      </c>
      <c r="C10" s="166">
        <v>20.0</v>
      </c>
      <c r="D10" s="166">
        <v>30.0</v>
      </c>
      <c r="E10" s="166">
        <v>40.0</v>
      </c>
      <c r="F10" s="166">
        <v>40.0</v>
      </c>
      <c r="G10" s="166">
        <v>400.0</v>
      </c>
      <c r="H10" s="167">
        <v>2.99</v>
      </c>
      <c r="I10" s="163">
        <f t="shared" si="1"/>
        <v>0.1495</v>
      </c>
      <c r="J10" s="164">
        <f t="shared" si="2"/>
        <v>0.22425</v>
      </c>
      <c r="K10" s="164">
        <f t="shared" si="3"/>
        <v>0.299</v>
      </c>
      <c r="L10" s="164">
        <f t="shared" si="4"/>
        <v>0.299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>
      <c r="A11" s="33"/>
      <c r="B11" s="77"/>
      <c r="C11" s="77"/>
      <c r="D11" s="77"/>
      <c r="E11" s="77"/>
      <c r="F11" s="77"/>
      <c r="G11" s="77"/>
      <c r="H11" s="168"/>
      <c r="I11" s="169">
        <f t="shared" ref="I11:L11" si="5">SUM(I5:I10)</f>
        <v>2.430653107</v>
      </c>
      <c r="J11" s="170">
        <f t="shared" si="5"/>
        <v>3.187422881</v>
      </c>
      <c r="K11" s="170">
        <f t="shared" si="5"/>
        <v>4.072439548</v>
      </c>
      <c r="L11" s="170">
        <f t="shared" si="5"/>
        <v>4.743759322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</row>
    <row r="13">
      <c r="A13" s="125"/>
      <c r="B13" s="126" t="s">
        <v>304</v>
      </c>
      <c r="C13" s="126">
        <v>100.0</v>
      </c>
      <c r="D13" s="126">
        <v>150.0</v>
      </c>
      <c r="E13" s="126">
        <v>200.0</v>
      </c>
      <c r="F13" s="126">
        <v>250.0</v>
      </c>
      <c r="G13" s="126">
        <v>1000.0</v>
      </c>
      <c r="H13" s="126">
        <v>1.49</v>
      </c>
      <c r="I13" s="127">
        <f t="shared" ref="I13:I15" si="6">(C13*H13)/G13</f>
        <v>0.149</v>
      </c>
      <c r="J13" s="127">
        <f t="shared" ref="J13:J15" si="7">(D13*H13)/G13</f>
        <v>0.2235</v>
      </c>
      <c r="K13" s="127">
        <f t="shared" ref="K13:K15" si="8">(E13*H13)/G13</f>
        <v>0.298</v>
      </c>
      <c r="L13" s="239">
        <f>(F13*H5)/G5</f>
        <v>0.2675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</row>
    <row r="14">
      <c r="A14" s="129" t="s">
        <v>305</v>
      </c>
      <c r="B14" s="126" t="s">
        <v>206</v>
      </c>
      <c r="C14" s="126">
        <v>100.0</v>
      </c>
      <c r="D14" s="126">
        <v>150.0</v>
      </c>
      <c r="E14" s="126">
        <v>200.0</v>
      </c>
      <c r="F14" s="126">
        <v>250.0</v>
      </c>
      <c r="G14" s="126">
        <v>1000.0</v>
      </c>
      <c r="H14" s="126">
        <v>0.25</v>
      </c>
      <c r="I14" s="127">
        <f t="shared" si="6"/>
        <v>0.025</v>
      </c>
      <c r="J14" s="127">
        <f t="shared" si="7"/>
        <v>0.0375</v>
      </c>
      <c r="K14" s="127">
        <f t="shared" si="8"/>
        <v>0.05</v>
      </c>
      <c r="L14" s="127">
        <f t="shared" ref="L14:L15" si="9">(F14*H14)/G14</f>
        <v>0.0625</v>
      </c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</row>
    <row r="15">
      <c r="A15" s="125"/>
      <c r="B15" s="126" t="s">
        <v>207</v>
      </c>
      <c r="C15" s="126">
        <v>3.0</v>
      </c>
      <c r="D15" s="126">
        <v>5.0</v>
      </c>
      <c r="E15" s="126">
        <v>9.0</v>
      </c>
      <c r="F15" s="126">
        <v>11.0</v>
      </c>
      <c r="G15" s="126">
        <v>236.0</v>
      </c>
      <c r="H15" s="126">
        <v>6.9</v>
      </c>
      <c r="I15" s="127">
        <f t="shared" si="6"/>
        <v>0.08771186441</v>
      </c>
      <c r="J15" s="127">
        <f t="shared" si="7"/>
        <v>0.1461864407</v>
      </c>
      <c r="K15" s="127">
        <f t="shared" si="8"/>
        <v>0.2631355932</v>
      </c>
      <c r="L15" s="127">
        <f t="shared" si="9"/>
        <v>0.3216101695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</row>
    <row r="16">
      <c r="A16" s="125"/>
      <c r="B16" s="125"/>
      <c r="C16" s="125"/>
      <c r="D16" s="125"/>
      <c r="E16" s="125"/>
      <c r="F16" s="125"/>
      <c r="G16" s="125"/>
      <c r="H16" s="125"/>
      <c r="I16" s="130">
        <f t="shared" ref="I16:L16" si="10">SUM(I13:I15)</f>
        <v>0.2617118644</v>
      </c>
      <c r="J16" s="130">
        <f t="shared" si="10"/>
        <v>0.4071864407</v>
      </c>
      <c r="K16" s="130">
        <f t="shared" si="10"/>
        <v>0.6111355932</v>
      </c>
      <c r="L16" s="240">
        <f t="shared" si="10"/>
        <v>0.6516101695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</row>
    <row r="18">
      <c r="A18" s="125"/>
      <c r="B18" s="171" t="s">
        <v>308</v>
      </c>
      <c r="C18" s="171">
        <v>300.0</v>
      </c>
      <c r="D18" s="171">
        <v>400.0</v>
      </c>
      <c r="E18" s="171">
        <v>500.0</v>
      </c>
      <c r="F18" s="171">
        <v>600.0</v>
      </c>
      <c r="G18" s="171">
        <v>600.0</v>
      </c>
      <c r="H18" s="171">
        <v>2.36</v>
      </c>
      <c r="I18" s="172">
        <f t="shared" ref="I18:I22" si="11">(C18*H18)/G18</f>
        <v>1.18</v>
      </c>
      <c r="J18" s="172">
        <f t="shared" ref="J18:J22" si="12">(D18*H18)/G18</f>
        <v>1.573333333</v>
      </c>
      <c r="K18" s="172">
        <f t="shared" ref="K18:K22" si="13">(E18*H18)/G18</f>
        <v>1.966666667</v>
      </c>
      <c r="L18" s="172">
        <f t="shared" ref="L18:L22" si="14">(F18*H18)/G18</f>
        <v>2.36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</row>
    <row r="19">
      <c r="A19" s="150" t="s">
        <v>344</v>
      </c>
      <c r="B19" s="171" t="s">
        <v>345</v>
      </c>
      <c r="C19" s="171">
        <v>100.0</v>
      </c>
      <c r="D19" s="171">
        <v>150.0</v>
      </c>
      <c r="E19" s="171">
        <v>200.0</v>
      </c>
      <c r="F19" s="171">
        <v>200.0</v>
      </c>
      <c r="G19" s="171">
        <v>250.0</v>
      </c>
      <c r="H19" s="171">
        <v>2.0</v>
      </c>
      <c r="I19" s="172">
        <f t="shared" si="11"/>
        <v>0.8</v>
      </c>
      <c r="J19" s="172">
        <f t="shared" si="12"/>
        <v>1.2</v>
      </c>
      <c r="K19" s="172">
        <f t="shared" si="13"/>
        <v>1.6</v>
      </c>
      <c r="L19" s="172">
        <f t="shared" si="14"/>
        <v>1.6</v>
      </c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</row>
    <row r="20">
      <c r="A20" s="150" t="s">
        <v>450</v>
      </c>
      <c r="B20" s="171" t="s">
        <v>451</v>
      </c>
      <c r="C20" s="171">
        <v>108.0</v>
      </c>
      <c r="D20" s="171">
        <v>108.0</v>
      </c>
      <c r="E20" s="171">
        <v>108.0</v>
      </c>
      <c r="F20" s="171">
        <v>150.0</v>
      </c>
      <c r="G20" s="171">
        <v>108.0</v>
      </c>
      <c r="H20" s="171">
        <v>2.99</v>
      </c>
      <c r="I20" s="172">
        <f t="shared" si="11"/>
        <v>2.99</v>
      </c>
      <c r="J20" s="172">
        <f t="shared" si="12"/>
        <v>2.99</v>
      </c>
      <c r="K20" s="172">
        <f t="shared" si="13"/>
        <v>2.99</v>
      </c>
      <c r="L20" s="172">
        <f t="shared" si="14"/>
        <v>4.152777778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</row>
    <row r="21">
      <c r="A21" s="150"/>
      <c r="B21" s="171" t="s">
        <v>348</v>
      </c>
      <c r="C21" s="171">
        <v>80.0</v>
      </c>
      <c r="D21" s="171">
        <v>90.0</v>
      </c>
      <c r="E21" s="171">
        <v>100.0</v>
      </c>
      <c r="F21" s="171">
        <v>120.0</v>
      </c>
      <c r="G21" s="171">
        <v>1000.0</v>
      </c>
      <c r="H21" s="171">
        <v>1.49</v>
      </c>
      <c r="I21" s="172">
        <f t="shared" si="11"/>
        <v>0.1192</v>
      </c>
      <c r="J21" s="172">
        <f t="shared" si="12"/>
        <v>0.1341</v>
      </c>
      <c r="K21" s="172">
        <f t="shared" si="13"/>
        <v>0.149</v>
      </c>
      <c r="L21" s="172">
        <f t="shared" si="14"/>
        <v>0.1788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>
      <c r="A22" s="125"/>
      <c r="B22" s="171" t="s">
        <v>207</v>
      </c>
      <c r="C22" s="171">
        <v>5.0</v>
      </c>
      <c r="D22" s="171">
        <v>7.0</v>
      </c>
      <c r="E22" s="171">
        <v>9.0</v>
      </c>
      <c r="F22" s="171">
        <v>8.0</v>
      </c>
      <c r="G22" s="171">
        <v>236.0</v>
      </c>
      <c r="H22" s="171">
        <v>6.9</v>
      </c>
      <c r="I22" s="172">
        <f t="shared" si="11"/>
        <v>0.1461864407</v>
      </c>
      <c r="J22" s="172">
        <f t="shared" si="12"/>
        <v>0.2046610169</v>
      </c>
      <c r="K22" s="172">
        <f t="shared" si="13"/>
        <v>0.2631355932</v>
      </c>
      <c r="L22" s="172">
        <f t="shared" si="14"/>
        <v>0.2338983051</v>
      </c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</row>
    <row r="23">
      <c r="A23" s="125"/>
      <c r="B23" s="125"/>
      <c r="C23" s="125"/>
      <c r="D23" s="125"/>
      <c r="E23" s="125"/>
      <c r="F23" s="125"/>
      <c r="G23" s="125"/>
      <c r="H23" s="125"/>
      <c r="I23" s="173">
        <f t="shared" ref="I23:L23" si="15">SUM(I18:I22)</f>
        <v>5.235386441</v>
      </c>
      <c r="J23" s="173">
        <f t="shared" si="15"/>
        <v>6.10209435</v>
      </c>
      <c r="K23" s="173">
        <f t="shared" si="15"/>
        <v>6.96880226</v>
      </c>
      <c r="L23" s="173">
        <f t="shared" si="15"/>
        <v>8.525476083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</row>
    <row r="25">
      <c r="A25" s="138" t="s">
        <v>311</v>
      </c>
      <c r="B25" s="139" t="s">
        <v>308</v>
      </c>
      <c r="C25" s="139">
        <v>150.0</v>
      </c>
      <c r="D25" s="139">
        <v>200.0</v>
      </c>
      <c r="E25" s="139">
        <v>200.0</v>
      </c>
      <c r="F25" s="139">
        <v>450.0</v>
      </c>
      <c r="G25" s="139">
        <v>600.0</v>
      </c>
      <c r="H25" s="139">
        <v>2.36</v>
      </c>
      <c r="I25" s="140">
        <f t="shared" ref="I25:I28" si="16">(C25*H25)/G25</f>
        <v>0.59</v>
      </c>
      <c r="J25" s="140">
        <f t="shared" ref="J25:J28" si="17">(D25*H25)/G25</f>
        <v>0.7866666667</v>
      </c>
      <c r="K25" s="140">
        <f t="shared" ref="K25:K28" si="18">(E25*H25)/G25</f>
        <v>0.7866666667</v>
      </c>
      <c r="L25" s="140">
        <f t="shared" ref="L25:L28" si="19">(F25*H25)/G25</f>
        <v>1.77</v>
      </c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>
      <c r="A26" s="138" t="s">
        <v>349</v>
      </c>
      <c r="B26" s="139" t="s">
        <v>306</v>
      </c>
      <c r="C26" s="139">
        <v>500.0</v>
      </c>
      <c r="D26" s="139">
        <v>600.0</v>
      </c>
      <c r="E26" s="139">
        <v>600.0</v>
      </c>
      <c r="F26" s="139">
        <v>900.0</v>
      </c>
      <c r="G26" s="139">
        <v>100.0</v>
      </c>
      <c r="H26" s="139">
        <v>1.15</v>
      </c>
      <c r="I26" s="140">
        <f t="shared" si="16"/>
        <v>5.75</v>
      </c>
      <c r="J26" s="140">
        <f t="shared" si="17"/>
        <v>6.9</v>
      </c>
      <c r="K26" s="140">
        <f t="shared" si="18"/>
        <v>6.9</v>
      </c>
      <c r="L26" s="140">
        <f t="shared" si="19"/>
        <v>10.35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</row>
    <row r="27">
      <c r="A27" s="138" t="s">
        <v>109</v>
      </c>
      <c r="B27" s="139" t="s">
        <v>451</v>
      </c>
      <c r="C27" s="139">
        <v>0.0</v>
      </c>
      <c r="D27" s="139">
        <v>0.0</v>
      </c>
      <c r="E27" s="139">
        <v>0.0</v>
      </c>
      <c r="F27" s="139">
        <v>0.0</v>
      </c>
      <c r="G27" s="139">
        <v>100.0</v>
      </c>
      <c r="H27" s="139">
        <v>1.79</v>
      </c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</row>
    <row r="28">
      <c r="A28" s="141"/>
      <c r="B28" s="139" t="s">
        <v>294</v>
      </c>
      <c r="C28" s="139">
        <v>600.0</v>
      </c>
      <c r="D28" s="139">
        <v>800.0</v>
      </c>
      <c r="E28" s="139">
        <v>1000.0</v>
      </c>
      <c r="F28" s="139">
        <v>1200.0</v>
      </c>
      <c r="G28" s="139">
        <v>2000.0</v>
      </c>
      <c r="H28" s="139">
        <v>10.75</v>
      </c>
      <c r="I28" s="140">
        <f t="shared" si="16"/>
        <v>3.225</v>
      </c>
      <c r="J28" s="140">
        <f t="shared" si="17"/>
        <v>4.3</v>
      </c>
      <c r="K28" s="140">
        <f t="shared" si="18"/>
        <v>5.375</v>
      </c>
      <c r="L28" s="140">
        <f t="shared" si="19"/>
        <v>6.45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</row>
    <row r="29">
      <c r="A29" s="125"/>
      <c r="B29" s="125"/>
      <c r="C29" s="125"/>
      <c r="D29" s="125"/>
      <c r="E29" s="125"/>
      <c r="F29" s="125"/>
      <c r="G29" s="125"/>
      <c r="H29" s="125"/>
      <c r="I29" s="142">
        <f t="shared" ref="I29:L29" si="20">SUM(I25:I28)</f>
        <v>9.565</v>
      </c>
      <c r="J29" s="142">
        <f t="shared" si="20"/>
        <v>11.98666667</v>
      </c>
      <c r="K29" s="142">
        <f t="shared" si="20"/>
        <v>13.06166667</v>
      </c>
      <c r="L29" s="142">
        <f t="shared" si="20"/>
        <v>18.57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</row>
    <row r="31">
      <c r="A31" s="125"/>
      <c r="B31" s="143" t="s">
        <v>317</v>
      </c>
      <c r="C31" s="144">
        <v>1.0</v>
      </c>
      <c r="D31" s="144">
        <v>1.0</v>
      </c>
      <c r="E31" s="144">
        <v>1.0</v>
      </c>
      <c r="F31" s="143">
        <v>1.0</v>
      </c>
      <c r="G31" s="143">
        <v>20.0</v>
      </c>
      <c r="H31" s="143">
        <v>1.13</v>
      </c>
      <c r="I31" s="144">
        <f t="shared" ref="I31:I35" si="21">(C31*H31)/G31</f>
        <v>0.0565</v>
      </c>
      <c r="J31" s="144">
        <f t="shared" ref="J31:J35" si="22">(C31*H31)/G31</f>
        <v>0.0565</v>
      </c>
      <c r="K31" s="144">
        <f t="shared" ref="K31:K35" si="23">(E31*H31)/G31</f>
        <v>0.0565</v>
      </c>
      <c r="L31" s="144">
        <f t="shared" ref="L31:L35" si="24">(F31*H31)/G31</f>
        <v>0.0565</v>
      </c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</row>
    <row r="32">
      <c r="A32" s="125"/>
      <c r="B32" s="143" t="s">
        <v>318</v>
      </c>
      <c r="C32" s="144">
        <v>1.0</v>
      </c>
      <c r="D32" s="144">
        <v>1.0</v>
      </c>
      <c r="E32" s="144">
        <v>1.0</v>
      </c>
      <c r="F32" s="143">
        <v>1.0</v>
      </c>
      <c r="G32" s="143">
        <v>1000.0</v>
      </c>
      <c r="H32" s="143">
        <v>2.05</v>
      </c>
      <c r="I32" s="144">
        <f t="shared" si="21"/>
        <v>0.00205</v>
      </c>
      <c r="J32" s="144">
        <f t="shared" si="22"/>
        <v>0.00205</v>
      </c>
      <c r="K32" s="144">
        <f t="shared" si="23"/>
        <v>0.00205</v>
      </c>
      <c r="L32" s="144">
        <f t="shared" si="24"/>
        <v>0.00205</v>
      </c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</row>
    <row r="33">
      <c r="A33" s="125"/>
      <c r="B33" s="143" t="s">
        <v>204</v>
      </c>
      <c r="C33" s="143">
        <v>30.0</v>
      </c>
      <c r="D33" s="143">
        <v>35.0</v>
      </c>
      <c r="E33" s="143">
        <v>40.0</v>
      </c>
      <c r="F33" s="143">
        <v>40.0</v>
      </c>
      <c r="G33" s="143">
        <v>60.0</v>
      </c>
      <c r="H33" s="143">
        <v>1.0</v>
      </c>
      <c r="I33" s="144">
        <f t="shared" si="21"/>
        <v>0.5</v>
      </c>
      <c r="J33" s="144">
        <f t="shared" si="22"/>
        <v>0.5</v>
      </c>
      <c r="K33" s="144">
        <f t="shared" si="23"/>
        <v>0.6666666667</v>
      </c>
      <c r="L33" s="144">
        <f t="shared" si="24"/>
        <v>0.6666666667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</row>
    <row r="34">
      <c r="A34" s="145" t="s">
        <v>319</v>
      </c>
      <c r="B34" s="143" t="s">
        <v>206</v>
      </c>
      <c r="C34" s="143">
        <v>12.0</v>
      </c>
      <c r="D34" s="143">
        <v>12.0</v>
      </c>
      <c r="E34" s="143">
        <v>12.0</v>
      </c>
      <c r="F34" s="143">
        <v>12.0</v>
      </c>
      <c r="G34" s="143">
        <v>1000.0</v>
      </c>
      <c r="H34" s="143">
        <v>1.97</v>
      </c>
      <c r="I34" s="144">
        <f t="shared" si="21"/>
        <v>0.02364</v>
      </c>
      <c r="J34" s="144">
        <f t="shared" si="22"/>
        <v>0.02364</v>
      </c>
      <c r="K34" s="144">
        <f t="shared" si="23"/>
        <v>0.02364</v>
      </c>
      <c r="L34" s="144">
        <f t="shared" si="24"/>
        <v>0.02364</v>
      </c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45" t="s">
        <v>320</v>
      </c>
      <c r="B35" s="143" t="s">
        <v>208</v>
      </c>
      <c r="C35" s="143">
        <v>12.0</v>
      </c>
      <c r="D35" s="143">
        <v>12.0</v>
      </c>
      <c r="E35" s="143">
        <v>12.0</v>
      </c>
      <c r="F35" s="143">
        <v>12.0</v>
      </c>
      <c r="G35" s="143">
        <v>60.0</v>
      </c>
      <c r="H35" s="143">
        <v>1.0</v>
      </c>
      <c r="I35" s="144">
        <f t="shared" si="21"/>
        <v>0.2</v>
      </c>
      <c r="J35" s="144">
        <f t="shared" si="22"/>
        <v>0.2</v>
      </c>
      <c r="K35" s="144">
        <f t="shared" si="23"/>
        <v>0.2</v>
      </c>
      <c r="L35" s="144">
        <f t="shared" si="24"/>
        <v>0.2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25"/>
      <c r="B36" s="143"/>
      <c r="C36" s="143"/>
      <c r="D36" s="143"/>
      <c r="E36" s="143"/>
      <c r="F36" s="143"/>
      <c r="G36" s="143"/>
      <c r="H36" s="143"/>
      <c r="I36" s="144"/>
      <c r="J36" s="144"/>
      <c r="K36" s="144"/>
      <c r="L36" s="144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</row>
    <row r="37">
      <c r="A37" s="125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</row>
    <row r="38">
      <c r="A38" s="125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</row>
    <row r="39">
      <c r="A39" s="125"/>
      <c r="B39" s="241"/>
      <c r="C39" s="241"/>
      <c r="D39" s="241"/>
      <c r="E39" s="241"/>
      <c r="F39" s="241"/>
      <c r="G39" s="241"/>
      <c r="H39" s="241"/>
      <c r="I39" s="147">
        <f t="shared" ref="I39:L39" si="25">SUM(I31:I38)</f>
        <v>0.78219</v>
      </c>
      <c r="J39" s="147">
        <f t="shared" si="25"/>
        <v>0.78219</v>
      </c>
      <c r="K39" s="147">
        <f t="shared" si="25"/>
        <v>0.9488566667</v>
      </c>
      <c r="L39" s="147">
        <f t="shared" si="25"/>
        <v>0.9488566667</v>
      </c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</row>
    <row r="42">
      <c r="A42" s="125"/>
      <c r="B42" s="148" t="s">
        <v>322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1.8</v>
      </c>
      <c r="I42" s="149">
        <f t="shared" ref="I42:I51" si="26">(C42*H42)/G42</f>
        <v>1.8</v>
      </c>
      <c r="J42" s="149">
        <f t="shared" ref="J42:J51" si="27">(C42*H42)/G42</f>
        <v>1.8</v>
      </c>
      <c r="K42" s="149">
        <f t="shared" ref="K42:K51" si="28">(E42*H42)/G42</f>
        <v>1.8</v>
      </c>
      <c r="L42" s="149">
        <f t="shared" ref="L42:L51" si="29">(F42*H42)/G42</f>
        <v>1.8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</row>
    <row r="43">
      <c r="A43" s="141"/>
      <c r="B43" s="148" t="s">
        <v>323</v>
      </c>
      <c r="C43" s="148">
        <v>1.0</v>
      </c>
      <c r="D43" s="148">
        <v>1.0</v>
      </c>
      <c r="E43" s="148">
        <v>1.0</v>
      </c>
      <c r="F43" s="148">
        <v>1.0</v>
      </c>
      <c r="G43" s="148">
        <v>6.0</v>
      </c>
      <c r="H43" s="148">
        <v>1.0</v>
      </c>
      <c r="I43" s="149">
        <f t="shared" si="26"/>
        <v>0.1666666667</v>
      </c>
      <c r="J43" s="149">
        <f t="shared" si="27"/>
        <v>0.1666666667</v>
      </c>
      <c r="K43" s="149">
        <f t="shared" si="28"/>
        <v>0.1666666667</v>
      </c>
      <c r="L43" s="149">
        <f t="shared" si="29"/>
        <v>0.1666666667</v>
      </c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</row>
    <row r="44">
      <c r="A44" s="125"/>
      <c r="B44" s="148" t="s">
        <v>324</v>
      </c>
      <c r="C44" s="148">
        <v>1.0</v>
      </c>
      <c r="D44" s="148">
        <v>1.0</v>
      </c>
      <c r="E44" s="148">
        <v>1.0</v>
      </c>
      <c r="F44" s="148">
        <v>0.0</v>
      </c>
      <c r="G44" s="148">
        <v>1.0</v>
      </c>
      <c r="H44" s="148">
        <v>0.9</v>
      </c>
      <c r="I44" s="149">
        <f t="shared" si="26"/>
        <v>0.9</v>
      </c>
      <c r="J44" s="149">
        <f t="shared" si="27"/>
        <v>0.9</v>
      </c>
      <c r="K44" s="149">
        <f t="shared" si="28"/>
        <v>0.9</v>
      </c>
      <c r="L44" s="149">
        <f t="shared" si="29"/>
        <v>0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</row>
    <row r="45">
      <c r="A45" s="150" t="s">
        <v>325</v>
      </c>
      <c r="B45" s="148" t="s">
        <v>326</v>
      </c>
      <c r="C45" s="148">
        <v>1.0</v>
      </c>
      <c r="D45" s="148">
        <v>1.0</v>
      </c>
      <c r="E45" s="148">
        <v>1.0</v>
      </c>
      <c r="F45" s="148">
        <v>0.0</v>
      </c>
      <c r="G45" s="148">
        <v>1.0</v>
      </c>
      <c r="H45" s="148">
        <v>2.0</v>
      </c>
      <c r="I45" s="149">
        <f t="shared" si="26"/>
        <v>2</v>
      </c>
      <c r="J45" s="149">
        <f t="shared" si="27"/>
        <v>2</v>
      </c>
      <c r="K45" s="149">
        <f t="shared" si="28"/>
        <v>2</v>
      </c>
      <c r="L45" s="149">
        <f t="shared" si="29"/>
        <v>0</v>
      </c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</row>
    <row r="46">
      <c r="A46" s="125"/>
      <c r="B46" s="148" t="s">
        <v>327</v>
      </c>
      <c r="C46" s="148">
        <v>1.0</v>
      </c>
      <c r="D46" s="148">
        <v>1.0</v>
      </c>
      <c r="E46" s="148">
        <v>1.0</v>
      </c>
      <c r="F46" s="148">
        <v>1.0</v>
      </c>
      <c r="G46" s="148">
        <v>500.0</v>
      </c>
      <c r="H46" s="148">
        <v>0.85</v>
      </c>
      <c r="I46" s="149">
        <f t="shared" si="26"/>
        <v>0.0017</v>
      </c>
      <c r="J46" s="149">
        <f t="shared" si="27"/>
        <v>0.0017</v>
      </c>
      <c r="K46" s="149">
        <f t="shared" si="28"/>
        <v>0.0017</v>
      </c>
      <c r="L46" s="149">
        <f t="shared" si="29"/>
        <v>0.0017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</row>
    <row r="47">
      <c r="A47" s="125"/>
      <c r="B47" s="148" t="s">
        <v>328</v>
      </c>
      <c r="C47" s="148">
        <v>2.0</v>
      </c>
      <c r="D47" s="148">
        <v>2.0</v>
      </c>
      <c r="E47" s="148">
        <v>2.0</v>
      </c>
      <c r="F47" s="148">
        <v>1.0</v>
      </c>
      <c r="G47" s="148">
        <v>2.0</v>
      </c>
      <c r="H47" s="148">
        <v>0.18</v>
      </c>
      <c r="I47" s="149">
        <f t="shared" si="26"/>
        <v>0.18</v>
      </c>
      <c r="J47" s="149">
        <f t="shared" si="27"/>
        <v>0.18</v>
      </c>
      <c r="K47" s="149">
        <f t="shared" si="28"/>
        <v>0.18</v>
      </c>
      <c r="L47" s="149">
        <f t="shared" si="29"/>
        <v>0.09</v>
      </c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</row>
    <row r="48">
      <c r="A48" s="125"/>
      <c r="B48" s="148" t="s">
        <v>351</v>
      </c>
      <c r="C48" s="148">
        <v>0.0</v>
      </c>
      <c r="D48" s="148">
        <v>0.0</v>
      </c>
      <c r="E48" s="148">
        <v>0.0</v>
      </c>
      <c r="F48" s="148">
        <v>1.0</v>
      </c>
      <c r="G48" s="148">
        <v>1.0</v>
      </c>
      <c r="H48" s="148">
        <v>0.9</v>
      </c>
      <c r="I48" s="149">
        <f t="shared" si="26"/>
        <v>0</v>
      </c>
      <c r="J48" s="149">
        <f t="shared" si="27"/>
        <v>0</v>
      </c>
      <c r="K48" s="149">
        <f t="shared" si="28"/>
        <v>0</v>
      </c>
      <c r="L48" s="149">
        <f t="shared" si="29"/>
        <v>0.9</v>
      </c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</row>
    <row r="49">
      <c r="A49" s="125"/>
      <c r="B49" s="148" t="s">
        <v>352</v>
      </c>
      <c r="C49" s="148">
        <v>0.0</v>
      </c>
      <c r="D49" s="148">
        <v>0.0</v>
      </c>
      <c r="E49" s="148">
        <v>0.0</v>
      </c>
      <c r="F49" s="148">
        <v>1.0</v>
      </c>
      <c r="G49" s="148">
        <v>1.0</v>
      </c>
      <c r="H49" s="148">
        <v>2.0</v>
      </c>
      <c r="I49" s="149">
        <f t="shared" si="26"/>
        <v>0</v>
      </c>
      <c r="J49" s="149">
        <f t="shared" si="27"/>
        <v>0</v>
      </c>
      <c r="K49" s="149">
        <f t="shared" si="28"/>
        <v>0</v>
      </c>
      <c r="L49" s="149">
        <f t="shared" si="29"/>
        <v>2</v>
      </c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</row>
    <row r="50">
      <c r="A50" s="125"/>
      <c r="B50" s="148" t="s">
        <v>329</v>
      </c>
      <c r="C50" s="148">
        <v>10.0</v>
      </c>
      <c r="D50" s="148">
        <v>10.0</v>
      </c>
      <c r="E50" s="148">
        <v>10.0</v>
      </c>
      <c r="F50" s="148">
        <v>12.0</v>
      </c>
      <c r="G50" s="148">
        <v>100.0</v>
      </c>
      <c r="H50" s="148">
        <v>6.0</v>
      </c>
      <c r="I50" s="149">
        <f t="shared" si="26"/>
        <v>0.6</v>
      </c>
      <c r="J50" s="149">
        <f t="shared" si="27"/>
        <v>0.6</v>
      </c>
      <c r="K50" s="149">
        <f t="shared" si="28"/>
        <v>0.6</v>
      </c>
      <c r="L50" s="149">
        <f t="shared" si="29"/>
        <v>0.72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</row>
    <row r="51">
      <c r="A51" s="125"/>
      <c r="B51" s="148" t="s">
        <v>330</v>
      </c>
      <c r="C51" s="148">
        <v>3.0</v>
      </c>
      <c r="D51" s="148">
        <v>3.0</v>
      </c>
      <c r="E51" s="148">
        <v>3.0</v>
      </c>
      <c r="F51" s="148">
        <v>3.0</v>
      </c>
      <c r="G51" s="148">
        <v>10.0</v>
      </c>
      <c r="H51" s="148">
        <v>10.0</v>
      </c>
      <c r="I51" s="149">
        <f t="shared" si="26"/>
        <v>3</v>
      </c>
      <c r="J51" s="149">
        <f t="shared" si="27"/>
        <v>3</v>
      </c>
      <c r="K51" s="149">
        <f t="shared" si="28"/>
        <v>3</v>
      </c>
      <c r="L51" s="149">
        <f t="shared" si="29"/>
        <v>3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>
      <c r="A52" s="125"/>
      <c r="B52" s="125"/>
      <c r="C52" s="125"/>
      <c r="D52" s="125"/>
      <c r="E52" s="125"/>
      <c r="F52" s="125"/>
      <c r="G52" s="125"/>
      <c r="H52" s="125"/>
      <c r="I52" s="151">
        <f t="shared" ref="I52:L52" si="30">SUM(I42:I51)</f>
        <v>8.648366667</v>
      </c>
      <c r="J52" s="151">
        <f t="shared" si="30"/>
        <v>8.648366667</v>
      </c>
      <c r="K52" s="151">
        <f t="shared" si="30"/>
        <v>8.648366667</v>
      </c>
      <c r="L52" s="151">
        <f t="shared" si="30"/>
        <v>8.678366667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</row>
    <row r="55">
      <c r="A55" s="125"/>
      <c r="B55" s="125"/>
      <c r="C55" s="125"/>
      <c r="D55" s="125"/>
      <c r="E55" s="125"/>
      <c r="F55" s="125"/>
      <c r="G55" s="125"/>
      <c r="H55" s="141" t="s">
        <v>270</v>
      </c>
      <c r="I55" s="242">
        <f t="shared" ref="I55:L55" si="31">SUM(I11+I16+I23+I29+I39+I52)</f>
        <v>26.92330808</v>
      </c>
      <c r="J55" s="242">
        <f t="shared" si="31"/>
        <v>31.11392701</v>
      </c>
      <c r="K55" s="242">
        <f t="shared" si="31"/>
        <v>34.3112674</v>
      </c>
      <c r="L55" s="242">
        <f t="shared" si="31"/>
        <v>42.11806891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>
      <c r="A56" s="125"/>
      <c r="B56" s="125"/>
      <c r="C56" s="125"/>
      <c r="D56" s="125"/>
      <c r="E56" s="125"/>
      <c r="F56" s="125"/>
      <c r="G56" s="125"/>
      <c r="H56" s="141" t="s">
        <v>452</v>
      </c>
      <c r="I56" s="243">
        <v>48.0</v>
      </c>
      <c r="J56" s="243">
        <v>55.0</v>
      </c>
      <c r="K56" s="243">
        <v>60.0</v>
      </c>
      <c r="L56" s="243">
        <v>70.0</v>
      </c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>
      <c r="A57" s="125"/>
      <c r="B57" s="125"/>
      <c r="C57" s="125"/>
      <c r="D57" s="125"/>
      <c r="E57" s="125"/>
      <c r="F57" s="125"/>
      <c r="G57" s="125"/>
      <c r="H57" s="141" t="s">
        <v>10</v>
      </c>
      <c r="I57" s="244">
        <f t="shared" ref="I57:L57" si="32">(I56-I55)</f>
        <v>21.07669192</v>
      </c>
      <c r="J57" s="244">
        <f t="shared" si="32"/>
        <v>23.88607299</v>
      </c>
      <c r="K57" s="244">
        <f t="shared" si="32"/>
        <v>25.6887326</v>
      </c>
      <c r="L57" s="244">
        <f t="shared" si="32"/>
        <v>27.88193109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>
      <c r="A58" s="125"/>
      <c r="B58" s="125"/>
      <c r="C58" s="125"/>
      <c r="D58" s="125"/>
      <c r="E58" s="125"/>
      <c r="F58" s="125"/>
      <c r="G58" s="125"/>
      <c r="H58" s="245"/>
      <c r="I58" s="181"/>
      <c r="J58" s="181"/>
      <c r="K58" s="181"/>
      <c r="L58" s="181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>
      <c r="A59" s="125"/>
      <c r="B59" s="125"/>
      <c r="C59" s="125"/>
      <c r="D59" s="125"/>
      <c r="E59" s="125"/>
      <c r="F59" s="125"/>
      <c r="G59" s="125"/>
      <c r="H59" s="245"/>
      <c r="I59" s="245"/>
      <c r="J59" s="245"/>
      <c r="K59" s="245"/>
      <c r="L59" s="24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>
      <c r="A60" s="125"/>
      <c r="B60" s="125"/>
      <c r="C60" s="125"/>
      <c r="D60" s="125"/>
      <c r="E60" s="125"/>
      <c r="F60" s="125"/>
      <c r="G60" s="125"/>
      <c r="H60" s="141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>
      <c r="A61" s="125"/>
      <c r="B61" s="125"/>
      <c r="C61" s="125"/>
      <c r="D61" s="125"/>
      <c r="E61" s="125"/>
      <c r="F61" s="125"/>
      <c r="G61" s="125"/>
      <c r="H61" s="141"/>
      <c r="I61" s="141"/>
      <c r="J61" s="141"/>
      <c r="K61" s="141"/>
      <c r="L61" s="141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>
      <c r="A63" s="125"/>
      <c r="B63" s="125"/>
      <c r="C63" s="125"/>
      <c r="D63" s="125"/>
      <c r="E63" s="125"/>
      <c r="F63" s="125"/>
      <c r="G63" s="125"/>
      <c r="H63" s="181"/>
      <c r="I63" s="180"/>
      <c r="J63" s="180"/>
      <c r="K63" s="180"/>
      <c r="L63" s="180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13"/>
    <col customWidth="1" min="3" max="3" width="18.13"/>
    <col customWidth="1" min="4" max="5" width="15.88"/>
    <col customWidth="1" min="6" max="6" width="14.38"/>
    <col customWidth="1" min="7" max="7" width="13.63"/>
    <col customWidth="1" min="8" max="8" width="14.25"/>
    <col customWidth="1" min="9" max="10" width="13.38"/>
  </cols>
  <sheetData>
    <row r="1">
      <c r="A1" s="79"/>
      <c r="B1" s="79"/>
      <c r="C1" s="93" t="s">
        <v>457</v>
      </c>
      <c r="D1" s="93" t="s">
        <v>120</v>
      </c>
      <c r="E1" s="93" t="s">
        <v>117</v>
      </c>
      <c r="F1" s="93" t="s">
        <v>118</v>
      </c>
      <c r="G1" s="79"/>
      <c r="H1" s="79"/>
      <c r="I1" s="93" t="s">
        <v>457</v>
      </c>
      <c r="J1" s="93" t="s">
        <v>458</v>
      </c>
      <c r="K1" s="93" t="s">
        <v>358</v>
      </c>
      <c r="L1" s="93" t="s">
        <v>459</v>
      </c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79"/>
      <c r="B2" s="203" t="s">
        <v>193</v>
      </c>
      <c r="C2" s="204" t="s">
        <v>353</v>
      </c>
      <c r="D2" s="204" t="s">
        <v>354</v>
      </c>
      <c r="E2" s="204" t="s">
        <v>460</v>
      </c>
      <c r="F2" s="204" t="s">
        <v>461</v>
      </c>
      <c r="G2" s="204" t="s">
        <v>247</v>
      </c>
      <c r="H2" s="204" t="s">
        <v>248</v>
      </c>
      <c r="I2" s="204" t="s">
        <v>462</v>
      </c>
      <c r="J2" s="204" t="s">
        <v>463</v>
      </c>
      <c r="K2" s="204" t="s">
        <v>464</v>
      </c>
      <c r="L2" s="255" t="s">
        <v>465</v>
      </c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>
      <c r="A3" s="79"/>
      <c r="B3" s="256" t="s">
        <v>466</v>
      </c>
      <c r="C3" s="256">
        <v>130.0</v>
      </c>
      <c r="D3" s="256">
        <v>260.0</v>
      </c>
      <c r="E3" s="256">
        <v>260.0</v>
      </c>
      <c r="F3" s="256">
        <v>520.0</v>
      </c>
      <c r="G3" s="256">
        <v>1000.0</v>
      </c>
      <c r="H3" s="256">
        <v>2.19</v>
      </c>
      <c r="I3" s="257">
        <f t="shared" ref="I3:I18" si="1">C3*H3/G3</f>
        <v>0.2847</v>
      </c>
      <c r="J3" s="257">
        <f t="shared" ref="J3:J18" si="2">D3*H3/G3</f>
        <v>0.5694</v>
      </c>
      <c r="K3" s="257">
        <f t="shared" ref="K3:K18" si="3">E3*H3/G3</f>
        <v>0.5694</v>
      </c>
      <c r="L3" s="184">
        <f t="shared" ref="L3:L18" si="4">F3*H3/G3</f>
        <v>1.1388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</row>
    <row r="4">
      <c r="A4" s="79"/>
      <c r="B4" s="256" t="s">
        <v>467</v>
      </c>
      <c r="C4" s="256">
        <v>40.0</v>
      </c>
      <c r="D4" s="256">
        <v>80.0</v>
      </c>
      <c r="E4" s="256">
        <v>80.0</v>
      </c>
      <c r="F4" s="256">
        <v>160.0</v>
      </c>
      <c r="G4" s="256">
        <v>150.0</v>
      </c>
      <c r="H4" s="256">
        <v>4.0</v>
      </c>
      <c r="I4" s="257">
        <f t="shared" si="1"/>
        <v>1.066666667</v>
      </c>
      <c r="J4" s="257">
        <f t="shared" si="2"/>
        <v>2.133333333</v>
      </c>
      <c r="K4" s="257">
        <f t="shared" si="3"/>
        <v>2.133333333</v>
      </c>
      <c r="L4" s="184">
        <f t="shared" si="4"/>
        <v>4.266666667</v>
      </c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</row>
    <row r="5">
      <c r="A5" s="79"/>
      <c r="B5" s="256" t="s">
        <v>468</v>
      </c>
      <c r="C5" s="256">
        <v>5.0</v>
      </c>
      <c r="D5" s="256">
        <v>10.0</v>
      </c>
      <c r="E5" s="256">
        <v>10.0</v>
      </c>
      <c r="F5" s="256">
        <v>15.0</v>
      </c>
      <c r="G5" s="256">
        <v>96.0</v>
      </c>
      <c r="H5" s="256">
        <v>2.69</v>
      </c>
      <c r="I5" s="257">
        <f t="shared" si="1"/>
        <v>0.1401041667</v>
      </c>
      <c r="J5" s="257">
        <f t="shared" si="2"/>
        <v>0.2802083333</v>
      </c>
      <c r="K5" s="257">
        <f t="shared" si="3"/>
        <v>0.2802083333</v>
      </c>
      <c r="L5" s="184">
        <f t="shared" si="4"/>
        <v>0.4203125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</row>
    <row r="6">
      <c r="A6" s="79"/>
      <c r="B6" s="256" t="s">
        <v>409</v>
      </c>
      <c r="C6" s="256">
        <v>5.0</v>
      </c>
      <c r="D6" s="256">
        <v>8.0</v>
      </c>
      <c r="E6" s="256">
        <v>10.0</v>
      </c>
      <c r="F6" s="256">
        <v>15.0</v>
      </c>
      <c r="G6" s="256">
        <v>300.0</v>
      </c>
      <c r="H6" s="256">
        <v>1.1</v>
      </c>
      <c r="I6" s="257">
        <f t="shared" si="1"/>
        <v>0.01833333333</v>
      </c>
      <c r="J6" s="257">
        <f t="shared" si="2"/>
        <v>0.02933333333</v>
      </c>
      <c r="K6" s="257">
        <f t="shared" si="3"/>
        <v>0.03666666667</v>
      </c>
      <c r="L6" s="184">
        <f t="shared" si="4"/>
        <v>0.055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</row>
    <row r="7">
      <c r="A7" s="79"/>
      <c r="B7" s="256" t="s">
        <v>397</v>
      </c>
      <c r="C7" s="256">
        <v>80.0</v>
      </c>
      <c r="D7" s="256">
        <v>160.0</v>
      </c>
      <c r="E7" s="256">
        <v>160.0</v>
      </c>
      <c r="F7" s="256">
        <v>320.0</v>
      </c>
      <c r="G7" s="256">
        <v>500.0</v>
      </c>
      <c r="H7" s="256">
        <v>1.29</v>
      </c>
      <c r="I7" s="257">
        <f t="shared" si="1"/>
        <v>0.2064</v>
      </c>
      <c r="J7" s="257">
        <f t="shared" si="2"/>
        <v>0.4128</v>
      </c>
      <c r="K7" s="257">
        <f t="shared" si="3"/>
        <v>0.4128</v>
      </c>
      <c r="L7" s="184">
        <f t="shared" si="4"/>
        <v>0.8256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>
      <c r="A8" s="79"/>
      <c r="B8" s="256" t="s">
        <v>252</v>
      </c>
      <c r="C8" s="256">
        <v>80.0</v>
      </c>
      <c r="D8" s="256">
        <v>160.0</v>
      </c>
      <c r="E8" s="256">
        <v>160.0</v>
      </c>
      <c r="F8" s="256">
        <v>320.0</v>
      </c>
      <c r="G8" s="256">
        <v>1000.0</v>
      </c>
      <c r="H8" s="256">
        <v>1.49</v>
      </c>
      <c r="I8" s="257">
        <f t="shared" si="1"/>
        <v>0.1192</v>
      </c>
      <c r="J8" s="257">
        <f t="shared" si="2"/>
        <v>0.2384</v>
      </c>
      <c r="K8" s="257">
        <f t="shared" si="3"/>
        <v>0.2384</v>
      </c>
      <c r="L8" s="184">
        <f t="shared" si="4"/>
        <v>0.4768</v>
      </c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</row>
    <row r="9">
      <c r="A9" s="79"/>
      <c r="B9" s="256" t="s">
        <v>469</v>
      </c>
      <c r="C9" s="256">
        <v>90.0</v>
      </c>
      <c r="D9" s="256">
        <v>180.0</v>
      </c>
      <c r="E9" s="256">
        <v>180.0</v>
      </c>
      <c r="F9" s="256">
        <v>260.0</v>
      </c>
      <c r="G9" s="256">
        <v>1000.0</v>
      </c>
      <c r="H9" s="256">
        <v>1.56</v>
      </c>
      <c r="I9" s="257">
        <f t="shared" si="1"/>
        <v>0.1404</v>
      </c>
      <c r="J9" s="257">
        <f t="shared" si="2"/>
        <v>0.2808</v>
      </c>
      <c r="K9" s="257">
        <f t="shared" si="3"/>
        <v>0.2808</v>
      </c>
      <c r="L9" s="184">
        <f t="shared" si="4"/>
        <v>0.4056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</row>
    <row r="10">
      <c r="A10" s="79"/>
      <c r="B10" s="256" t="s">
        <v>253</v>
      </c>
      <c r="C10" s="256">
        <v>2.0</v>
      </c>
      <c r="D10" s="256">
        <v>3.0</v>
      </c>
      <c r="E10" s="256">
        <v>3.0</v>
      </c>
      <c r="F10" s="256">
        <v>6.0</v>
      </c>
      <c r="G10" s="256">
        <v>12.0</v>
      </c>
      <c r="H10" s="256">
        <v>2.5</v>
      </c>
      <c r="I10" s="257">
        <f t="shared" si="1"/>
        <v>0.4166666667</v>
      </c>
      <c r="J10" s="257">
        <f t="shared" si="2"/>
        <v>0.625</v>
      </c>
      <c r="K10" s="257">
        <f t="shared" si="3"/>
        <v>0.625</v>
      </c>
      <c r="L10" s="184">
        <f t="shared" si="4"/>
        <v>1.25</v>
      </c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>
      <c r="A11" s="79"/>
      <c r="B11" s="256" t="s">
        <v>470</v>
      </c>
      <c r="C11" s="256">
        <v>50.0</v>
      </c>
      <c r="D11" s="256">
        <v>100.0</v>
      </c>
      <c r="E11" s="256">
        <v>100.0</v>
      </c>
      <c r="F11" s="256">
        <v>200.0</v>
      </c>
      <c r="G11" s="256">
        <v>1000.0</v>
      </c>
      <c r="H11" s="256">
        <v>0.9</v>
      </c>
      <c r="I11" s="257">
        <f t="shared" si="1"/>
        <v>0.045</v>
      </c>
      <c r="J11" s="257">
        <f t="shared" si="2"/>
        <v>0.09</v>
      </c>
      <c r="K11" s="257">
        <f t="shared" si="3"/>
        <v>0.09</v>
      </c>
      <c r="L11" s="184">
        <f t="shared" si="4"/>
        <v>0.18</v>
      </c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>
      <c r="A12" s="79"/>
      <c r="B12" s="256" t="s">
        <v>471</v>
      </c>
      <c r="C12" s="256">
        <v>90.0</v>
      </c>
      <c r="D12" s="256">
        <v>180.0</v>
      </c>
      <c r="E12" s="256">
        <v>180.0</v>
      </c>
      <c r="F12" s="256">
        <v>260.0</v>
      </c>
      <c r="G12" s="256">
        <v>1000.0</v>
      </c>
      <c r="H12" s="256">
        <v>1.21</v>
      </c>
      <c r="I12" s="257">
        <f t="shared" si="1"/>
        <v>0.1089</v>
      </c>
      <c r="J12" s="257">
        <f t="shared" si="2"/>
        <v>0.2178</v>
      </c>
      <c r="K12" s="257">
        <f t="shared" si="3"/>
        <v>0.2178</v>
      </c>
      <c r="L12" s="184">
        <f t="shared" si="4"/>
        <v>0.3146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>
      <c r="A13" s="79"/>
      <c r="B13" s="256" t="s">
        <v>255</v>
      </c>
      <c r="C13" s="256">
        <v>5.0</v>
      </c>
      <c r="D13" s="256">
        <v>5.0</v>
      </c>
      <c r="E13" s="256">
        <v>10.0</v>
      </c>
      <c r="F13" s="256">
        <v>20.0</v>
      </c>
      <c r="G13" s="256">
        <v>236.0</v>
      </c>
      <c r="H13" s="256">
        <v>6.9</v>
      </c>
      <c r="I13" s="257">
        <f t="shared" si="1"/>
        <v>0.1461864407</v>
      </c>
      <c r="J13" s="257">
        <f t="shared" si="2"/>
        <v>0.1461864407</v>
      </c>
      <c r="K13" s="257">
        <f t="shared" si="3"/>
        <v>0.2923728814</v>
      </c>
      <c r="L13" s="184">
        <f t="shared" si="4"/>
        <v>0.5847457627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>
      <c r="A14" s="79"/>
      <c r="B14" s="256" t="s">
        <v>472</v>
      </c>
      <c r="C14" s="256">
        <v>2.0</v>
      </c>
      <c r="D14" s="256">
        <v>1.0</v>
      </c>
      <c r="E14" s="256">
        <v>1.0</v>
      </c>
      <c r="F14" s="256">
        <v>4.0</v>
      </c>
      <c r="G14" s="256">
        <v>45.0</v>
      </c>
      <c r="H14" s="256">
        <v>0.87</v>
      </c>
      <c r="I14" s="257">
        <f t="shared" si="1"/>
        <v>0.03866666667</v>
      </c>
      <c r="J14" s="257">
        <f t="shared" si="2"/>
        <v>0.01933333333</v>
      </c>
      <c r="K14" s="257">
        <f t="shared" si="3"/>
        <v>0.01933333333</v>
      </c>
      <c r="L14" s="184">
        <f t="shared" si="4"/>
        <v>0.07733333333</v>
      </c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>
      <c r="A15" s="79"/>
      <c r="B15" s="256" t="s">
        <v>473</v>
      </c>
      <c r="C15" s="256">
        <v>2.0</v>
      </c>
      <c r="D15" s="256">
        <v>2.0</v>
      </c>
      <c r="E15" s="256">
        <v>4.0</v>
      </c>
      <c r="F15" s="256">
        <v>4.0</v>
      </c>
      <c r="G15" s="256">
        <v>60.0</v>
      </c>
      <c r="H15" s="256">
        <v>1.65</v>
      </c>
      <c r="I15" s="257">
        <f t="shared" si="1"/>
        <v>0.055</v>
      </c>
      <c r="J15" s="257">
        <f t="shared" si="2"/>
        <v>0.055</v>
      </c>
      <c r="K15" s="257">
        <f t="shared" si="3"/>
        <v>0.11</v>
      </c>
      <c r="L15" s="184">
        <f t="shared" si="4"/>
        <v>0.11</v>
      </c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>
      <c r="A16" s="79"/>
      <c r="B16" s="256" t="s">
        <v>474</v>
      </c>
      <c r="C16" s="256">
        <v>10.0</v>
      </c>
      <c r="D16" s="256">
        <v>20.0</v>
      </c>
      <c r="E16" s="256">
        <v>20.0</v>
      </c>
      <c r="F16" s="256">
        <v>40.0</v>
      </c>
      <c r="G16" s="256">
        <v>3000.0</v>
      </c>
      <c r="H16" s="256">
        <v>4.99</v>
      </c>
      <c r="I16" s="257">
        <f t="shared" si="1"/>
        <v>0.01663333333</v>
      </c>
      <c r="J16" s="257">
        <f t="shared" si="2"/>
        <v>0.03326666667</v>
      </c>
      <c r="K16" s="257">
        <f t="shared" si="3"/>
        <v>0.03326666667</v>
      </c>
      <c r="L16" s="184">
        <f t="shared" si="4"/>
        <v>0.06653333333</v>
      </c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>
      <c r="A17" s="79"/>
      <c r="B17" s="256" t="s">
        <v>258</v>
      </c>
      <c r="C17" s="256">
        <v>1.0</v>
      </c>
      <c r="D17" s="256">
        <v>2.0</v>
      </c>
      <c r="E17" s="256">
        <v>2.0</v>
      </c>
      <c r="F17" s="256">
        <v>3.0</v>
      </c>
      <c r="G17" s="256">
        <v>1000.0</v>
      </c>
      <c r="H17" s="256">
        <v>1.35</v>
      </c>
      <c r="I17" s="257">
        <f t="shared" si="1"/>
        <v>0.00135</v>
      </c>
      <c r="J17" s="257">
        <f t="shared" si="2"/>
        <v>0.0027</v>
      </c>
      <c r="K17" s="257">
        <f t="shared" si="3"/>
        <v>0.0027</v>
      </c>
      <c r="L17" s="184">
        <f t="shared" si="4"/>
        <v>0.00405</v>
      </c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>
      <c r="A18" s="79"/>
      <c r="B18" s="256" t="s">
        <v>475</v>
      </c>
      <c r="C18" s="256">
        <v>5.0</v>
      </c>
      <c r="D18" s="256">
        <v>5.0</v>
      </c>
      <c r="E18" s="256">
        <v>5.0</v>
      </c>
      <c r="F18" s="256">
        <v>5.0</v>
      </c>
      <c r="G18" s="256">
        <v>1000.0</v>
      </c>
      <c r="H18" s="256">
        <v>0.9</v>
      </c>
      <c r="I18" s="257">
        <f t="shared" si="1"/>
        <v>0.0045</v>
      </c>
      <c r="J18" s="257">
        <f t="shared" si="2"/>
        <v>0.0045</v>
      </c>
      <c r="K18" s="257">
        <f t="shared" si="3"/>
        <v>0.0045</v>
      </c>
      <c r="L18" s="184">
        <f t="shared" si="4"/>
        <v>0.0045</v>
      </c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>
      <c r="A19" s="79"/>
      <c r="B19" s="79"/>
      <c r="C19" s="79"/>
      <c r="D19" s="79"/>
      <c r="E19" s="79"/>
      <c r="F19" s="79"/>
      <c r="G19" s="79"/>
      <c r="H19" s="79"/>
      <c r="I19" s="258">
        <f t="shared" ref="I19:L19" si="5">SUM(I3:I18)</f>
        <v>2.808707274</v>
      </c>
      <c r="J19" s="258">
        <f t="shared" si="5"/>
        <v>5.138061441</v>
      </c>
      <c r="K19" s="258">
        <f t="shared" si="5"/>
        <v>5.346581215</v>
      </c>
      <c r="L19" s="258">
        <f t="shared" si="5"/>
        <v>10.1805416</v>
      </c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>
      <c r="A23" s="79"/>
      <c r="B23" s="259" t="s">
        <v>308</v>
      </c>
      <c r="C23" s="259">
        <v>300.0</v>
      </c>
      <c r="D23" s="259">
        <v>350.0</v>
      </c>
      <c r="E23" s="259">
        <v>300.0</v>
      </c>
      <c r="F23" s="259">
        <v>400.0</v>
      </c>
      <c r="G23" s="259">
        <v>600.0</v>
      </c>
      <c r="H23" s="259">
        <v>2.19</v>
      </c>
      <c r="I23" s="260">
        <f t="shared" ref="I23:I26" si="6">(C23*H23)/G23</f>
        <v>1.095</v>
      </c>
      <c r="J23" s="91">
        <f t="shared" ref="J23:J26" si="7">D23*H23/G23</f>
        <v>1.2775</v>
      </c>
      <c r="K23" s="260">
        <f t="shared" ref="K23:K26" si="8">(E23*H23)/G23</f>
        <v>1.095</v>
      </c>
      <c r="L23" s="260">
        <f t="shared" ref="L23:L26" si="9">(F23*H23)/G23</f>
        <v>1.46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>
      <c r="A24" s="79"/>
      <c r="B24" s="259" t="s">
        <v>345</v>
      </c>
      <c r="C24" s="259">
        <v>100.0</v>
      </c>
      <c r="D24" s="259">
        <v>120.0</v>
      </c>
      <c r="E24" s="259">
        <v>200.0</v>
      </c>
      <c r="F24" s="259">
        <v>250.0</v>
      </c>
      <c r="G24" s="259">
        <v>250.0</v>
      </c>
      <c r="H24" s="259">
        <v>1.1</v>
      </c>
      <c r="I24" s="260">
        <f t="shared" si="6"/>
        <v>0.44</v>
      </c>
      <c r="J24" s="91">
        <f t="shared" si="7"/>
        <v>0.528</v>
      </c>
      <c r="K24" s="260">
        <f t="shared" si="8"/>
        <v>0.88</v>
      </c>
      <c r="L24" s="260">
        <f t="shared" si="9"/>
        <v>1.1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>
      <c r="A25" s="79"/>
      <c r="B25" s="259" t="s">
        <v>201</v>
      </c>
      <c r="C25" s="259">
        <v>50.0</v>
      </c>
      <c r="D25" s="259">
        <v>60.0</v>
      </c>
      <c r="E25" s="259">
        <v>70.0</v>
      </c>
      <c r="F25" s="259">
        <v>90.0</v>
      </c>
      <c r="G25" s="259">
        <v>1000.0</v>
      </c>
      <c r="H25" s="259">
        <v>4.5</v>
      </c>
      <c r="I25" s="260">
        <f t="shared" si="6"/>
        <v>0.225</v>
      </c>
      <c r="J25" s="91">
        <f t="shared" si="7"/>
        <v>0.27</v>
      </c>
      <c r="K25" s="260">
        <f t="shared" si="8"/>
        <v>0.315</v>
      </c>
      <c r="L25" s="260">
        <f t="shared" si="9"/>
        <v>0.405</v>
      </c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>
      <c r="A26" s="79"/>
      <c r="B26" s="259" t="s">
        <v>207</v>
      </c>
      <c r="C26" s="259">
        <v>5.0</v>
      </c>
      <c r="D26" s="259">
        <v>5.0</v>
      </c>
      <c r="E26" s="259">
        <v>7.0</v>
      </c>
      <c r="F26" s="259">
        <v>9.0</v>
      </c>
      <c r="G26" s="259">
        <v>236.0</v>
      </c>
      <c r="H26" s="259">
        <v>6.9</v>
      </c>
      <c r="I26" s="260">
        <f t="shared" si="6"/>
        <v>0.1461864407</v>
      </c>
      <c r="J26" s="91">
        <f t="shared" si="7"/>
        <v>0.1461864407</v>
      </c>
      <c r="K26" s="260">
        <f t="shared" si="8"/>
        <v>0.2046610169</v>
      </c>
      <c r="L26" s="260">
        <f t="shared" si="9"/>
        <v>0.2631355932</v>
      </c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>
      <c r="A27" s="79"/>
      <c r="B27" s="79"/>
      <c r="C27" s="79"/>
      <c r="D27" s="79"/>
      <c r="E27" s="79"/>
      <c r="F27" s="79"/>
      <c r="G27" s="79"/>
      <c r="H27" s="79"/>
      <c r="I27" s="261">
        <f t="shared" ref="I27:L27" si="10">SUM(I23:I26)</f>
        <v>1.906186441</v>
      </c>
      <c r="J27" s="262">
        <f t="shared" si="10"/>
        <v>2.221686441</v>
      </c>
      <c r="K27" s="261">
        <f t="shared" si="10"/>
        <v>2.494661017</v>
      </c>
      <c r="L27" s="261">
        <f t="shared" si="10"/>
        <v>3.228135593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>
      <c r="A30" s="79"/>
      <c r="B30" s="259" t="s">
        <v>308</v>
      </c>
      <c r="C30" s="259">
        <v>300.0</v>
      </c>
      <c r="D30" s="259">
        <v>350.0</v>
      </c>
      <c r="E30" s="259">
        <v>300.0</v>
      </c>
      <c r="F30" s="259">
        <v>400.0</v>
      </c>
      <c r="G30" s="259">
        <v>600.0</v>
      </c>
      <c r="H30" s="259">
        <v>2.19</v>
      </c>
      <c r="I30" s="260">
        <f t="shared" ref="I30:I33" si="11">(C30*H30)/G30</f>
        <v>1.095</v>
      </c>
      <c r="J30" s="91">
        <f t="shared" ref="J30:J33" si="12">D30*H30/G30</f>
        <v>1.2775</v>
      </c>
      <c r="K30" s="260">
        <f t="shared" ref="K30:K33" si="13">(E30*H30)/G30</f>
        <v>1.095</v>
      </c>
      <c r="L30" s="260">
        <f t="shared" ref="L30:L33" si="14">(F30*H30)/G30</f>
        <v>1.46</v>
      </c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>
      <c r="A31" s="79"/>
      <c r="B31" s="259" t="s">
        <v>345</v>
      </c>
      <c r="C31" s="259">
        <v>100.0</v>
      </c>
      <c r="D31" s="259">
        <v>120.0</v>
      </c>
      <c r="E31" s="259">
        <v>200.0</v>
      </c>
      <c r="F31" s="259">
        <v>250.0</v>
      </c>
      <c r="G31" s="259">
        <v>250.0</v>
      </c>
      <c r="H31" s="259">
        <v>1.1</v>
      </c>
      <c r="I31" s="260">
        <f t="shared" si="11"/>
        <v>0.44</v>
      </c>
      <c r="J31" s="91">
        <f t="shared" si="12"/>
        <v>0.528</v>
      </c>
      <c r="K31" s="260">
        <f t="shared" si="13"/>
        <v>0.88</v>
      </c>
      <c r="L31" s="260">
        <f t="shared" si="14"/>
        <v>1.1</v>
      </c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>
      <c r="A32" s="79"/>
      <c r="B32" s="259" t="s">
        <v>201</v>
      </c>
      <c r="C32" s="259">
        <v>50.0</v>
      </c>
      <c r="D32" s="259">
        <v>60.0</v>
      </c>
      <c r="E32" s="259">
        <v>70.0</v>
      </c>
      <c r="F32" s="259">
        <v>90.0</v>
      </c>
      <c r="G32" s="259">
        <v>1000.0</v>
      </c>
      <c r="H32" s="259">
        <v>4.5</v>
      </c>
      <c r="I32" s="260">
        <f t="shared" si="11"/>
        <v>0.225</v>
      </c>
      <c r="J32" s="91">
        <f t="shared" si="12"/>
        <v>0.27</v>
      </c>
      <c r="K32" s="260">
        <f t="shared" si="13"/>
        <v>0.315</v>
      </c>
      <c r="L32" s="260">
        <f t="shared" si="14"/>
        <v>0.405</v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>
      <c r="A33" s="79"/>
      <c r="B33" s="259" t="s">
        <v>207</v>
      </c>
      <c r="C33" s="259">
        <v>5.0</v>
      </c>
      <c r="D33" s="259">
        <v>5.0</v>
      </c>
      <c r="E33" s="259">
        <v>7.0</v>
      </c>
      <c r="F33" s="259">
        <v>9.0</v>
      </c>
      <c r="G33" s="259">
        <v>236.0</v>
      </c>
      <c r="H33" s="259">
        <v>6.9</v>
      </c>
      <c r="I33" s="260">
        <f t="shared" si="11"/>
        <v>0.1461864407</v>
      </c>
      <c r="J33" s="91">
        <f t="shared" si="12"/>
        <v>0.1461864407</v>
      </c>
      <c r="K33" s="260">
        <f t="shared" si="13"/>
        <v>0.2046610169</v>
      </c>
      <c r="L33" s="260">
        <f t="shared" si="14"/>
        <v>0.2631355932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>
      <c r="A34" s="79"/>
      <c r="B34" s="79"/>
      <c r="C34" s="79"/>
      <c r="D34" s="79"/>
      <c r="E34" s="79"/>
      <c r="F34" s="79"/>
      <c r="G34" s="79"/>
      <c r="H34" s="79"/>
      <c r="I34" s="261">
        <f t="shared" ref="I34:L34" si="15">SUM(I30:I33)</f>
        <v>1.906186441</v>
      </c>
      <c r="J34" s="262">
        <f t="shared" si="15"/>
        <v>2.221686441</v>
      </c>
      <c r="K34" s="261">
        <f t="shared" si="15"/>
        <v>2.494661017</v>
      </c>
      <c r="L34" s="261">
        <f t="shared" si="15"/>
        <v>3.228135593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>
      <c r="A37" s="79"/>
      <c r="B37" s="263" t="s">
        <v>317</v>
      </c>
      <c r="C37" s="264">
        <v>1.0</v>
      </c>
      <c r="D37" s="264">
        <v>1.0</v>
      </c>
      <c r="E37" s="264">
        <v>1.0</v>
      </c>
      <c r="F37" s="264">
        <v>1.0</v>
      </c>
      <c r="G37" s="263">
        <v>20.0</v>
      </c>
      <c r="H37" s="263">
        <v>1.13</v>
      </c>
      <c r="I37" s="184">
        <f t="shared" ref="I37:I41" si="16">C37*H37/G37</f>
        <v>0.0565</v>
      </c>
      <c r="J37" s="184">
        <f t="shared" ref="J37:J41" si="17">D37*H37/G37</f>
        <v>0.0565</v>
      </c>
      <c r="K37" s="184">
        <f t="shared" ref="K37:K41" si="18">E37*H37/G37</f>
        <v>0.0565</v>
      </c>
      <c r="L37" s="184">
        <f t="shared" ref="L37:L41" si="19">F37*H37/G37</f>
        <v>0.0565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>
      <c r="A38" s="79"/>
      <c r="B38" s="263" t="s">
        <v>318</v>
      </c>
      <c r="C38" s="264">
        <v>1.0</v>
      </c>
      <c r="D38" s="264">
        <v>1.0</v>
      </c>
      <c r="E38" s="264">
        <v>1.0</v>
      </c>
      <c r="F38" s="264">
        <v>1.0</v>
      </c>
      <c r="G38" s="263">
        <v>1000.0</v>
      </c>
      <c r="H38" s="263">
        <v>2.05</v>
      </c>
      <c r="I38" s="184">
        <f t="shared" si="16"/>
        <v>0.00205</v>
      </c>
      <c r="J38" s="184">
        <f t="shared" si="17"/>
        <v>0.00205</v>
      </c>
      <c r="K38" s="184">
        <f t="shared" si="18"/>
        <v>0.00205</v>
      </c>
      <c r="L38" s="184">
        <f t="shared" si="19"/>
        <v>0.00205</v>
      </c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>
      <c r="A39" s="79"/>
      <c r="B39" s="263" t="s">
        <v>204</v>
      </c>
      <c r="C39" s="263">
        <v>30.0</v>
      </c>
      <c r="D39" s="263">
        <v>35.0</v>
      </c>
      <c r="E39" s="263">
        <v>40.0</v>
      </c>
      <c r="F39" s="263">
        <v>45.0</v>
      </c>
      <c r="G39" s="263">
        <v>60.0</v>
      </c>
      <c r="H39" s="263">
        <v>1.0</v>
      </c>
      <c r="I39" s="184">
        <f t="shared" si="16"/>
        <v>0.5</v>
      </c>
      <c r="J39" s="184">
        <f t="shared" si="17"/>
        <v>0.5833333333</v>
      </c>
      <c r="K39" s="184">
        <f t="shared" si="18"/>
        <v>0.6666666667</v>
      </c>
      <c r="L39" s="184">
        <f t="shared" si="19"/>
        <v>0.75</v>
      </c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</row>
    <row r="40">
      <c r="A40" s="79"/>
      <c r="B40" s="263" t="s">
        <v>206</v>
      </c>
      <c r="C40" s="263">
        <v>12.0</v>
      </c>
      <c r="D40" s="263">
        <v>12.0</v>
      </c>
      <c r="E40" s="263">
        <v>12.0</v>
      </c>
      <c r="F40" s="263">
        <v>12.0</v>
      </c>
      <c r="G40" s="263">
        <v>1000.0</v>
      </c>
      <c r="H40" s="263">
        <v>1.97</v>
      </c>
      <c r="I40" s="184">
        <f t="shared" si="16"/>
        <v>0.02364</v>
      </c>
      <c r="J40" s="184">
        <f t="shared" si="17"/>
        <v>0.02364</v>
      </c>
      <c r="K40" s="184">
        <f t="shared" si="18"/>
        <v>0.02364</v>
      </c>
      <c r="L40" s="184">
        <f t="shared" si="19"/>
        <v>0.02364</v>
      </c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>
      <c r="A41" s="79"/>
      <c r="B41" s="263" t="s">
        <v>208</v>
      </c>
      <c r="C41" s="263">
        <v>12.0</v>
      </c>
      <c r="D41" s="263">
        <v>12.0</v>
      </c>
      <c r="E41" s="263">
        <v>12.0</v>
      </c>
      <c r="F41" s="263">
        <v>12.0</v>
      </c>
      <c r="G41" s="263">
        <v>60.0</v>
      </c>
      <c r="H41" s="263">
        <v>1.0</v>
      </c>
      <c r="I41" s="184">
        <f t="shared" si="16"/>
        <v>0.2</v>
      </c>
      <c r="J41" s="184">
        <f t="shared" si="17"/>
        <v>0.2</v>
      </c>
      <c r="K41" s="184">
        <f t="shared" si="18"/>
        <v>0.2</v>
      </c>
      <c r="L41" s="184">
        <f t="shared" si="19"/>
        <v>0.2</v>
      </c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>
      <c r="A42" s="79"/>
      <c r="B42" s="79"/>
      <c r="C42" s="79"/>
      <c r="D42" s="79"/>
      <c r="E42" s="79"/>
      <c r="F42" s="79"/>
      <c r="G42" s="79"/>
      <c r="H42" s="79"/>
      <c r="I42" s="265">
        <f t="shared" ref="I42:L42" si="20">SUM(I37:I41)</f>
        <v>0.78219</v>
      </c>
      <c r="J42" s="265">
        <f t="shared" si="20"/>
        <v>0.8655233333</v>
      </c>
      <c r="K42" s="265">
        <f t="shared" si="20"/>
        <v>0.9488566667</v>
      </c>
      <c r="L42" s="265">
        <f t="shared" si="20"/>
        <v>1.03219</v>
      </c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>
      <c r="A45" s="79"/>
      <c r="B45" s="26" t="s">
        <v>322</v>
      </c>
      <c r="C45" s="26">
        <v>1.0</v>
      </c>
      <c r="D45" s="26">
        <v>1.0</v>
      </c>
      <c r="E45" s="26">
        <v>1.0</v>
      </c>
      <c r="F45" s="26">
        <v>1.0</v>
      </c>
      <c r="G45" s="26">
        <v>1.0</v>
      </c>
      <c r="H45" s="26">
        <v>1.8</v>
      </c>
      <c r="I45" s="12">
        <f t="shared" ref="I45:I52" si="21">(C45*H45)/G45</f>
        <v>1.8</v>
      </c>
      <c r="J45" s="91">
        <f t="shared" ref="J45:J52" si="22">D45*H45/G45</f>
        <v>1.8</v>
      </c>
      <c r="K45" s="12">
        <f t="shared" ref="K45:K52" si="23">(C45*H45)/G45</f>
        <v>1.8</v>
      </c>
      <c r="L45" s="12">
        <f t="shared" ref="L45:L52" si="24">(F45*H45)/G45</f>
        <v>1.8</v>
      </c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>
      <c r="A46" s="79"/>
      <c r="B46" s="26" t="s">
        <v>323</v>
      </c>
      <c r="C46" s="26">
        <v>1.0</v>
      </c>
      <c r="D46" s="26">
        <v>1.0</v>
      </c>
      <c r="E46" s="26">
        <v>1.0</v>
      </c>
      <c r="F46" s="26">
        <v>1.0</v>
      </c>
      <c r="G46" s="26">
        <v>6.0</v>
      </c>
      <c r="H46" s="26">
        <v>1.0</v>
      </c>
      <c r="I46" s="12">
        <f t="shared" si="21"/>
        <v>0.1666666667</v>
      </c>
      <c r="J46" s="91">
        <f t="shared" si="22"/>
        <v>0.1666666667</v>
      </c>
      <c r="K46" s="12">
        <f t="shared" si="23"/>
        <v>0.1666666667</v>
      </c>
      <c r="L46" s="12">
        <f t="shared" si="24"/>
        <v>0.1666666667</v>
      </c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</row>
    <row r="47">
      <c r="A47" s="79"/>
      <c r="B47" s="26" t="s">
        <v>324</v>
      </c>
      <c r="C47" s="26">
        <v>1.0</v>
      </c>
      <c r="D47" s="26">
        <v>1.0</v>
      </c>
      <c r="E47" s="26">
        <v>1.0</v>
      </c>
      <c r="F47" s="26">
        <v>1.0</v>
      </c>
      <c r="G47" s="26">
        <v>1.0</v>
      </c>
      <c r="H47" s="26">
        <v>0.9</v>
      </c>
      <c r="I47" s="12">
        <f t="shared" si="21"/>
        <v>0.9</v>
      </c>
      <c r="J47" s="91">
        <f t="shared" si="22"/>
        <v>0.9</v>
      </c>
      <c r="K47" s="12">
        <f t="shared" si="23"/>
        <v>0.9</v>
      </c>
      <c r="L47" s="12">
        <f t="shared" si="24"/>
        <v>0.9</v>
      </c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>
      <c r="A48" s="79"/>
      <c r="B48" s="26" t="s">
        <v>326</v>
      </c>
      <c r="C48" s="26">
        <v>1.0</v>
      </c>
      <c r="D48" s="26">
        <v>1.0</v>
      </c>
      <c r="E48" s="26">
        <v>1.0</v>
      </c>
      <c r="F48" s="26">
        <v>1.0</v>
      </c>
      <c r="G48" s="26">
        <v>1.0</v>
      </c>
      <c r="H48" s="26">
        <v>1.85</v>
      </c>
      <c r="I48" s="12">
        <f t="shared" si="21"/>
        <v>1.85</v>
      </c>
      <c r="J48" s="91">
        <f t="shared" si="22"/>
        <v>1.85</v>
      </c>
      <c r="K48" s="12">
        <f t="shared" si="23"/>
        <v>1.85</v>
      </c>
      <c r="L48" s="12">
        <f t="shared" si="24"/>
        <v>1.85</v>
      </c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>
      <c r="A49" s="79"/>
      <c r="B49" s="26" t="s">
        <v>327</v>
      </c>
      <c r="C49" s="26">
        <v>1.0</v>
      </c>
      <c r="D49" s="26">
        <v>1.0</v>
      </c>
      <c r="E49" s="26">
        <v>1.0</v>
      </c>
      <c r="F49" s="26">
        <v>1.0</v>
      </c>
      <c r="G49" s="26">
        <v>500.0</v>
      </c>
      <c r="H49" s="26">
        <v>0.85</v>
      </c>
      <c r="I49" s="12">
        <f t="shared" si="21"/>
        <v>0.0017</v>
      </c>
      <c r="J49" s="91">
        <f t="shared" si="22"/>
        <v>0.0017</v>
      </c>
      <c r="K49" s="12">
        <f t="shared" si="23"/>
        <v>0.0017</v>
      </c>
      <c r="L49" s="12">
        <f t="shared" si="24"/>
        <v>0.0017</v>
      </c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>
      <c r="A50" s="79"/>
      <c r="B50" s="26" t="s">
        <v>328</v>
      </c>
      <c r="C50" s="26">
        <v>2.0</v>
      </c>
      <c r="D50" s="26">
        <v>2.0</v>
      </c>
      <c r="E50" s="26">
        <v>2.0</v>
      </c>
      <c r="F50" s="26">
        <v>2.0</v>
      </c>
      <c r="G50" s="26">
        <v>2.0</v>
      </c>
      <c r="H50" s="26">
        <v>0.18</v>
      </c>
      <c r="I50" s="12">
        <f t="shared" si="21"/>
        <v>0.18</v>
      </c>
      <c r="J50" s="91">
        <f t="shared" si="22"/>
        <v>0.18</v>
      </c>
      <c r="K50" s="12">
        <f t="shared" si="23"/>
        <v>0.18</v>
      </c>
      <c r="L50" s="12">
        <f t="shared" si="24"/>
        <v>0.18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>
      <c r="A51" s="79"/>
      <c r="B51" s="26" t="s">
        <v>329</v>
      </c>
      <c r="C51" s="26">
        <v>10.0</v>
      </c>
      <c r="D51" s="26">
        <v>10.0</v>
      </c>
      <c r="E51" s="26">
        <v>10.0</v>
      </c>
      <c r="F51" s="26">
        <v>10.0</v>
      </c>
      <c r="G51" s="26">
        <v>100.0</v>
      </c>
      <c r="H51" s="26">
        <v>6.0</v>
      </c>
      <c r="I51" s="12">
        <f t="shared" si="21"/>
        <v>0.6</v>
      </c>
      <c r="J51" s="91">
        <f t="shared" si="22"/>
        <v>0.6</v>
      </c>
      <c r="K51" s="12">
        <f t="shared" si="23"/>
        <v>0.6</v>
      </c>
      <c r="L51" s="12">
        <f t="shared" si="24"/>
        <v>0.6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>
      <c r="A52" s="79"/>
      <c r="B52" s="26" t="s">
        <v>330</v>
      </c>
      <c r="C52" s="26">
        <v>3.0</v>
      </c>
      <c r="D52" s="26">
        <v>3.0</v>
      </c>
      <c r="E52" s="26">
        <v>3.0</v>
      </c>
      <c r="F52" s="26">
        <v>3.0</v>
      </c>
      <c r="G52" s="26">
        <v>10.0</v>
      </c>
      <c r="H52" s="26">
        <v>1.0</v>
      </c>
      <c r="I52" s="12">
        <f t="shared" si="21"/>
        <v>0.3</v>
      </c>
      <c r="J52" s="91">
        <f t="shared" si="22"/>
        <v>0.3</v>
      </c>
      <c r="K52" s="12">
        <f t="shared" si="23"/>
        <v>0.3</v>
      </c>
      <c r="L52" s="12">
        <f t="shared" si="24"/>
        <v>0.3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>
      <c r="A53" s="79"/>
      <c r="B53" s="79"/>
      <c r="C53" s="79"/>
      <c r="D53" s="79"/>
      <c r="E53" s="79"/>
      <c r="F53" s="79"/>
      <c r="G53" s="79"/>
      <c r="H53" s="79"/>
      <c r="I53" s="266">
        <f t="shared" ref="I53:L53" si="25">SUM(I45:I52)</f>
        <v>5.798366667</v>
      </c>
      <c r="J53" s="262">
        <f t="shared" si="25"/>
        <v>5.798366667</v>
      </c>
      <c r="K53" s="266">
        <f t="shared" si="25"/>
        <v>5.798366667</v>
      </c>
      <c r="L53" s="266">
        <f t="shared" si="25"/>
        <v>5.798366667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>
      <c r="A55" s="79"/>
      <c r="B55" s="79"/>
      <c r="C55" s="79"/>
      <c r="D55" s="79"/>
      <c r="E55" s="79"/>
      <c r="F55" s="79"/>
      <c r="G55" s="79"/>
      <c r="H55" s="267" t="s">
        <v>331</v>
      </c>
      <c r="I55" s="268">
        <f t="shared" ref="I55:L55" si="26">SUM(I19+I27+I34+I42+I53)</f>
        <v>13.20163682</v>
      </c>
      <c r="J55" s="268">
        <f t="shared" si="26"/>
        <v>16.24532432</v>
      </c>
      <c r="K55" s="268">
        <f t="shared" si="26"/>
        <v>17.08312658</v>
      </c>
      <c r="L55" s="268">
        <f t="shared" si="26"/>
        <v>23.46736945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</row>
    <row r="56">
      <c r="A56" s="79"/>
      <c r="B56" s="79"/>
      <c r="C56" s="79"/>
      <c r="D56" s="79"/>
      <c r="E56" s="79"/>
      <c r="F56" s="79"/>
      <c r="G56" s="79"/>
      <c r="H56" s="93" t="s">
        <v>238</v>
      </c>
      <c r="I56" s="93">
        <v>25.0</v>
      </c>
      <c r="J56" s="93">
        <v>30.0</v>
      </c>
      <c r="K56" s="93">
        <v>40.0</v>
      </c>
      <c r="L56" s="93">
        <v>50.0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>
      <c r="A57" s="79"/>
      <c r="B57" s="79"/>
      <c r="C57" s="79"/>
      <c r="D57" s="79"/>
      <c r="E57" s="79"/>
      <c r="F57" s="79"/>
      <c r="G57" s="79"/>
      <c r="H57" s="93" t="s">
        <v>10</v>
      </c>
      <c r="I57" s="79">
        <f t="shared" ref="I57:L57" si="27">SUM(I56-I55)</f>
        <v>11.79836318</v>
      </c>
      <c r="J57" s="79">
        <f t="shared" si="27"/>
        <v>13.75467568</v>
      </c>
      <c r="K57" s="79">
        <f t="shared" si="27"/>
        <v>22.91687342</v>
      </c>
      <c r="L57" s="79">
        <f t="shared" si="27"/>
        <v>26.53263055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113"/>
      <c r="B3" s="114" t="s">
        <v>193</v>
      </c>
      <c r="C3" s="113" t="s">
        <v>297</v>
      </c>
      <c r="D3" s="113" t="s">
        <v>298</v>
      </c>
      <c r="E3" s="113" t="s">
        <v>299</v>
      </c>
      <c r="F3" s="113" t="s">
        <v>300</v>
      </c>
      <c r="G3" s="113" t="s">
        <v>247</v>
      </c>
      <c r="H3" s="113" t="s">
        <v>248</v>
      </c>
      <c r="I3" s="113" t="s">
        <v>249</v>
      </c>
      <c r="J3" s="113" t="s">
        <v>250</v>
      </c>
      <c r="K3" s="113" t="s">
        <v>301</v>
      </c>
      <c r="L3" s="113" t="s">
        <v>302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33"/>
      <c r="B4" s="115"/>
      <c r="C4" s="115"/>
      <c r="D4" s="115"/>
      <c r="E4" s="115"/>
      <c r="F4" s="115"/>
      <c r="G4" s="115"/>
      <c r="H4" s="115"/>
      <c r="I4" s="115"/>
      <c r="J4" s="116"/>
      <c r="K4" s="116"/>
      <c r="L4" s="11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117" t="s">
        <v>303</v>
      </c>
      <c r="B5" s="86" t="s">
        <v>205</v>
      </c>
      <c r="C5" s="83">
        <v>150.0</v>
      </c>
      <c r="D5" s="83">
        <v>180.0</v>
      </c>
      <c r="E5" s="83">
        <v>240.0</v>
      </c>
      <c r="F5" s="83">
        <v>270.0</v>
      </c>
      <c r="G5" s="86">
        <v>1000.0</v>
      </c>
      <c r="H5" s="87">
        <v>1.07</v>
      </c>
      <c r="I5" s="84">
        <f t="shared" ref="I5:I8" si="1">(C5*H5)/G5</f>
        <v>0.1605</v>
      </c>
      <c r="J5" s="118">
        <f t="shared" ref="J5:J7" si="2">D6*H6/G6</f>
        <v>1.25</v>
      </c>
      <c r="K5" s="118">
        <f t="shared" ref="K5:K8" si="3">(E5*H5)/G5</f>
        <v>0.2568</v>
      </c>
      <c r="L5" s="118">
        <f t="shared" ref="L5:L8" si="4">(F5*H5)/G5</f>
        <v>0.2889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117" t="s">
        <v>255</v>
      </c>
      <c r="B6" s="86" t="s">
        <v>203</v>
      </c>
      <c r="C6" s="86">
        <v>5.0</v>
      </c>
      <c r="D6" s="83">
        <v>6.0</v>
      </c>
      <c r="E6" s="83">
        <v>8.0</v>
      </c>
      <c r="F6" s="83">
        <v>9.0</v>
      </c>
      <c r="G6" s="86">
        <v>12.0</v>
      </c>
      <c r="H6" s="87">
        <v>2.5</v>
      </c>
      <c r="I6" s="84">
        <f t="shared" si="1"/>
        <v>1.041666667</v>
      </c>
      <c r="J6" s="118">
        <f t="shared" si="2"/>
        <v>0.2682</v>
      </c>
      <c r="K6" s="118">
        <f t="shared" si="3"/>
        <v>1.666666667</v>
      </c>
      <c r="L6" s="118">
        <f t="shared" si="4"/>
        <v>1.875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62"/>
      <c r="B7" s="86" t="s">
        <v>304</v>
      </c>
      <c r="C7" s="83">
        <v>150.0</v>
      </c>
      <c r="D7" s="83">
        <v>180.0</v>
      </c>
      <c r="E7" s="83">
        <v>240.0</v>
      </c>
      <c r="F7" s="83">
        <v>270.0</v>
      </c>
      <c r="G7" s="86">
        <v>1000.0</v>
      </c>
      <c r="H7" s="87">
        <v>1.49</v>
      </c>
      <c r="I7" s="84">
        <f t="shared" si="1"/>
        <v>0.2235</v>
      </c>
      <c r="J7" s="118">
        <f t="shared" si="2"/>
        <v>0.2923728814</v>
      </c>
      <c r="K7" s="118">
        <f t="shared" si="3"/>
        <v>0.3576</v>
      </c>
      <c r="L7" s="118">
        <f t="shared" si="4"/>
        <v>0.4023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62"/>
      <c r="B8" s="86" t="s">
        <v>207</v>
      </c>
      <c r="C8" s="83">
        <v>5.0</v>
      </c>
      <c r="D8" s="83">
        <v>10.0</v>
      </c>
      <c r="E8" s="83">
        <v>10.0</v>
      </c>
      <c r="F8" s="83">
        <v>15.0</v>
      </c>
      <c r="G8" s="83">
        <v>236.0</v>
      </c>
      <c r="H8" s="87">
        <v>6.9</v>
      </c>
      <c r="I8" s="84">
        <f t="shared" si="1"/>
        <v>0.1461864407</v>
      </c>
      <c r="J8" s="118">
        <f>D8*H8/G8</f>
        <v>0.2923728814</v>
      </c>
      <c r="K8" s="118">
        <f t="shared" si="3"/>
        <v>0.2923728814</v>
      </c>
      <c r="L8" s="118">
        <f t="shared" si="4"/>
        <v>0.438559322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33"/>
      <c r="B9" s="115"/>
      <c r="C9" s="115"/>
      <c r="D9" s="115"/>
      <c r="E9" s="115"/>
      <c r="F9" s="115"/>
      <c r="G9" s="115"/>
      <c r="H9" s="119"/>
      <c r="I9" s="120">
        <f t="shared" ref="I9:L9" si="5">SUM(I5:I8)</f>
        <v>1.571853107</v>
      </c>
      <c r="J9" s="118">
        <f t="shared" si="5"/>
        <v>2.102945763</v>
      </c>
      <c r="K9" s="121">
        <f t="shared" si="5"/>
        <v>2.573439548</v>
      </c>
      <c r="L9" s="121">
        <f t="shared" si="5"/>
        <v>3.004759322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45"/>
      <c r="B10" s="45"/>
      <c r="C10" s="45"/>
      <c r="D10" s="45"/>
      <c r="E10" s="45"/>
      <c r="F10" s="45"/>
      <c r="G10" s="122"/>
      <c r="H10" s="123"/>
      <c r="I10" s="124"/>
      <c r="J10" s="124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125"/>
      <c r="B11" s="126" t="s">
        <v>304</v>
      </c>
      <c r="C11" s="126">
        <v>100.0</v>
      </c>
      <c r="D11" s="126">
        <v>120.0</v>
      </c>
      <c r="E11" s="126">
        <v>150.0</v>
      </c>
      <c r="F11" s="126">
        <v>200.0</v>
      </c>
      <c r="G11" s="126">
        <v>1000.0</v>
      </c>
      <c r="H11" s="126">
        <v>1.49</v>
      </c>
      <c r="I11" s="127">
        <f t="shared" ref="I11:I13" si="6">(C11*H11)/G11</f>
        <v>0.149</v>
      </c>
      <c r="J11" s="128">
        <f t="shared" ref="J11:J13" si="7">D11*H11/G11</f>
        <v>0.1788</v>
      </c>
      <c r="K11" s="127">
        <f t="shared" ref="K11:K13" si="8">(E11*H11)/G11</f>
        <v>0.2235</v>
      </c>
      <c r="L11" s="127">
        <f t="shared" ref="L11:L13" si="9">(F11*H11)/G11</f>
        <v>0.298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129" t="s">
        <v>305</v>
      </c>
      <c r="B12" s="126" t="s">
        <v>206</v>
      </c>
      <c r="C12" s="126">
        <v>100.0</v>
      </c>
      <c r="D12" s="126">
        <v>120.0</v>
      </c>
      <c r="E12" s="126">
        <v>150.0</v>
      </c>
      <c r="F12" s="126">
        <v>200.0</v>
      </c>
      <c r="G12" s="126">
        <v>1000.0</v>
      </c>
      <c r="H12" s="126">
        <v>0.25</v>
      </c>
      <c r="I12" s="127">
        <f t="shared" si="6"/>
        <v>0.025</v>
      </c>
      <c r="J12" s="128">
        <f t="shared" si="7"/>
        <v>0.03</v>
      </c>
      <c r="K12" s="127">
        <f t="shared" si="8"/>
        <v>0.0375</v>
      </c>
      <c r="L12" s="127">
        <f t="shared" si="9"/>
        <v>0.05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125"/>
      <c r="B13" s="126" t="s">
        <v>207</v>
      </c>
      <c r="C13" s="126">
        <v>3.0</v>
      </c>
      <c r="D13" s="126">
        <v>4.0</v>
      </c>
      <c r="E13" s="126">
        <v>5.0</v>
      </c>
      <c r="F13" s="126">
        <v>9.0</v>
      </c>
      <c r="G13" s="126">
        <v>236.0</v>
      </c>
      <c r="H13" s="126">
        <v>6.9</v>
      </c>
      <c r="I13" s="127">
        <f t="shared" si="6"/>
        <v>0.08771186441</v>
      </c>
      <c r="J13" s="128">
        <f t="shared" si="7"/>
        <v>0.1169491525</v>
      </c>
      <c r="K13" s="127">
        <f t="shared" si="8"/>
        <v>0.1461864407</v>
      </c>
      <c r="L13" s="127">
        <f t="shared" si="9"/>
        <v>0.2631355932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125"/>
      <c r="B14" s="125"/>
      <c r="C14" s="125"/>
      <c r="D14" s="125"/>
      <c r="E14" s="125"/>
      <c r="F14" s="125"/>
      <c r="G14" s="125"/>
      <c r="H14" s="125"/>
      <c r="I14" s="130">
        <f t="shared" ref="I14:L14" si="10">SUM(I11:I13)</f>
        <v>0.2617118644</v>
      </c>
      <c r="J14" s="131">
        <f t="shared" si="10"/>
        <v>0.3257491525</v>
      </c>
      <c r="K14" s="130">
        <f t="shared" si="10"/>
        <v>0.4071864407</v>
      </c>
      <c r="L14" s="130">
        <f t="shared" si="10"/>
        <v>0.6111355932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132"/>
      <c r="C15" s="132"/>
      <c r="D15" s="132"/>
      <c r="E15" s="132"/>
      <c r="F15" s="132"/>
      <c r="G15" s="132"/>
      <c r="H15" s="133"/>
      <c r="I15" s="133"/>
      <c r="J15" s="133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134" t="s">
        <v>259</v>
      </c>
      <c r="B16" s="135" t="s">
        <v>235</v>
      </c>
      <c r="C16" s="135">
        <v>400.0</v>
      </c>
      <c r="D16" s="135">
        <v>450.0</v>
      </c>
      <c r="E16" s="135">
        <v>500.0</v>
      </c>
      <c r="F16" s="135">
        <v>600.0</v>
      </c>
      <c r="G16" s="135">
        <v>1000.0</v>
      </c>
      <c r="H16" s="135">
        <v>4.0</v>
      </c>
      <c r="I16" s="136">
        <f t="shared" ref="I16:I20" si="11">(C16*H16)/G16</f>
        <v>1.6</v>
      </c>
      <c r="J16" s="128">
        <f t="shared" ref="J16:J20" si="12">D16*H16/G16</f>
        <v>1.8</v>
      </c>
      <c r="K16" s="136">
        <f t="shared" ref="K16:K20" si="13">(E16*H16)/G16</f>
        <v>2</v>
      </c>
      <c r="L16" s="136">
        <f t="shared" ref="L16:L20" si="14">(F16*H16)/G16</f>
        <v>2.4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134" t="s">
        <v>380</v>
      </c>
      <c r="B17" s="135" t="s">
        <v>308</v>
      </c>
      <c r="C17" s="135">
        <v>300.0</v>
      </c>
      <c r="D17" s="135">
        <v>300.0</v>
      </c>
      <c r="E17" s="135">
        <v>400.0</v>
      </c>
      <c r="F17" s="135">
        <v>500.0</v>
      </c>
      <c r="G17" s="135">
        <v>600.0</v>
      </c>
      <c r="H17" s="135">
        <v>2.36</v>
      </c>
      <c r="I17" s="136">
        <f t="shared" si="11"/>
        <v>1.18</v>
      </c>
      <c r="J17" s="128">
        <f t="shared" si="12"/>
        <v>1.18</v>
      </c>
      <c r="K17" s="136">
        <f t="shared" si="13"/>
        <v>1.573333333</v>
      </c>
      <c r="L17" s="136">
        <f t="shared" si="14"/>
        <v>1.966666667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134" t="s">
        <v>381</v>
      </c>
      <c r="B18" s="135" t="s">
        <v>304</v>
      </c>
      <c r="C18" s="135">
        <v>80.0</v>
      </c>
      <c r="D18" s="135">
        <v>80.0</v>
      </c>
      <c r="E18" s="135">
        <v>90.0</v>
      </c>
      <c r="F18" s="135">
        <v>100.0</v>
      </c>
      <c r="G18" s="135">
        <v>1000.0</v>
      </c>
      <c r="H18" s="135">
        <v>1.49</v>
      </c>
      <c r="I18" s="136">
        <f t="shared" si="11"/>
        <v>0.1192</v>
      </c>
      <c r="J18" s="128">
        <f t="shared" si="12"/>
        <v>0.1192</v>
      </c>
      <c r="K18" s="136">
        <f t="shared" si="13"/>
        <v>0.1341</v>
      </c>
      <c r="L18" s="136">
        <f t="shared" si="14"/>
        <v>0.149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125"/>
      <c r="B19" s="135" t="s">
        <v>207</v>
      </c>
      <c r="C19" s="135">
        <v>5.0</v>
      </c>
      <c r="D19" s="135">
        <v>5.0</v>
      </c>
      <c r="E19" s="135">
        <v>7.0</v>
      </c>
      <c r="F19" s="135">
        <v>9.0</v>
      </c>
      <c r="G19" s="135">
        <v>236.0</v>
      </c>
      <c r="H19" s="135">
        <v>6.9</v>
      </c>
      <c r="I19" s="136">
        <f t="shared" si="11"/>
        <v>0.1461864407</v>
      </c>
      <c r="J19" s="128">
        <f t="shared" si="12"/>
        <v>0.1461864407</v>
      </c>
      <c r="K19" s="136">
        <f t="shared" si="13"/>
        <v>0.2046610169</v>
      </c>
      <c r="L19" s="136">
        <f t="shared" si="14"/>
        <v>0.2631355932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125"/>
      <c r="B20" s="135" t="s">
        <v>440</v>
      </c>
      <c r="C20" s="135">
        <v>100.0</v>
      </c>
      <c r="D20" s="135">
        <v>120.0</v>
      </c>
      <c r="E20" s="135">
        <v>150.0</v>
      </c>
      <c r="F20" s="135">
        <v>200.0</v>
      </c>
      <c r="G20" s="135">
        <v>1000.0</v>
      </c>
      <c r="H20" s="135">
        <v>4.69</v>
      </c>
      <c r="I20" s="136">
        <f t="shared" si="11"/>
        <v>0.469</v>
      </c>
      <c r="J20" s="128">
        <f t="shared" si="12"/>
        <v>0.5628</v>
      </c>
      <c r="K20" s="136">
        <f t="shared" si="13"/>
        <v>0.7035</v>
      </c>
      <c r="L20" s="136">
        <f t="shared" si="14"/>
        <v>0.938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125"/>
      <c r="B21" s="125"/>
      <c r="C21" s="125"/>
      <c r="D21" s="125"/>
      <c r="E21" s="125"/>
      <c r="F21" s="125"/>
      <c r="G21" s="125"/>
      <c r="H21" s="125"/>
      <c r="I21" s="137">
        <f t="shared" ref="I21:L21" si="15">SUM(I16:I20)</f>
        <v>3.514386441</v>
      </c>
      <c r="J21" s="131">
        <f t="shared" si="15"/>
        <v>3.808186441</v>
      </c>
      <c r="K21" s="137">
        <f t="shared" si="15"/>
        <v>4.61559435</v>
      </c>
      <c r="L21" s="137">
        <f t="shared" si="15"/>
        <v>5.71680226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132"/>
      <c r="C22" s="132"/>
      <c r="D22" s="132"/>
      <c r="E22" s="132"/>
      <c r="F22" s="132"/>
      <c r="G22" s="132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138" t="s">
        <v>311</v>
      </c>
      <c r="B23" s="139" t="s">
        <v>308</v>
      </c>
      <c r="C23" s="139">
        <v>300.0</v>
      </c>
      <c r="D23" s="139">
        <v>350.0</v>
      </c>
      <c r="E23" s="139">
        <v>300.0</v>
      </c>
      <c r="F23" s="139">
        <v>400.0</v>
      </c>
      <c r="G23" s="139">
        <v>600.0</v>
      </c>
      <c r="H23" s="139">
        <v>2.36</v>
      </c>
      <c r="I23" s="140">
        <f t="shared" ref="I23:I26" si="16">(C23*H23)/G23</f>
        <v>1.18</v>
      </c>
      <c r="J23" s="128">
        <f t="shared" ref="J23:J26" si="17">D23*H23/G23</f>
        <v>1.376666667</v>
      </c>
      <c r="K23" s="140">
        <f t="shared" ref="K23:K26" si="18">(E23*H23)/G23</f>
        <v>1.18</v>
      </c>
      <c r="L23" s="140">
        <f t="shared" ref="L23:L26" si="19">(F23*H23)/G23</f>
        <v>1.573333333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138" t="s">
        <v>349</v>
      </c>
      <c r="B24" s="139" t="s">
        <v>345</v>
      </c>
      <c r="C24" s="139">
        <v>100.0</v>
      </c>
      <c r="D24" s="139">
        <v>120.0</v>
      </c>
      <c r="E24" s="139">
        <v>200.0</v>
      </c>
      <c r="F24" s="139">
        <v>250.0</v>
      </c>
      <c r="G24" s="139">
        <v>250.0</v>
      </c>
      <c r="H24" s="139">
        <v>2.5</v>
      </c>
      <c r="I24" s="140">
        <f t="shared" si="16"/>
        <v>1</v>
      </c>
      <c r="J24" s="128">
        <f t="shared" si="17"/>
        <v>1.2</v>
      </c>
      <c r="K24" s="140">
        <f t="shared" si="18"/>
        <v>2</v>
      </c>
      <c r="L24" s="140">
        <f t="shared" si="19"/>
        <v>2.5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138" t="s">
        <v>383</v>
      </c>
      <c r="B25" s="139" t="s">
        <v>201</v>
      </c>
      <c r="C25" s="139">
        <v>50.0</v>
      </c>
      <c r="D25" s="139">
        <v>60.0</v>
      </c>
      <c r="E25" s="139">
        <v>70.0</v>
      </c>
      <c r="F25" s="139">
        <v>90.0</v>
      </c>
      <c r="G25" s="139">
        <v>1000.0</v>
      </c>
      <c r="H25" s="139">
        <v>5.0</v>
      </c>
      <c r="I25" s="140">
        <f t="shared" si="16"/>
        <v>0.25</v>
      </c>
      <c r="J25" s="128">
        <f t="shared" si="17"/>
        <v>0.3</v>
      </c>
      <c r="K25" s="140">
        <f t="shared" si="18"/>
        <v>0.35</v>
      </c>
      <c r="L25" s="140">
        <f t="shared" si="19"/>
        <v>0.45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141"/>
      <c r="B26" s="139" t="s">
        <v>207</v>
      </c>
      <c r="C26" s="139">
        <v>5.0</v>
      </c>
      <c r="D26" s="139">
        <v>5.0</v>
      </c>
      <c r="E26" s="139">
        <v>7.0</v>
      </c>
      <c r="F26" s="139">
        <v>9.0</v>
      </c>
      <c r="G26" s="139">
        <v>236.0</v>
      </c>
      <c r="H26" s="139">
        <v>6.9</v>
      </c>
      <c r="I26" s="140">
        <f t="shared" si="16"/>
        <v>0.1461864407</v>
      </c>
      <c r="J26" s="128">
        <f t="shared" si="17"/>
        <v>0.1461864407</v>
      </c>
      <c r="K26" s="140">
        <f t="shared" si="18"/>
        <v>0.2046610169</v>
      </c>
      <c r="L26" s="140">
        <f t="shared" si="19"/>
        <v>0.2631355932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125"/>
      <c r="B27" s="125"/>
      <c r="C27" s="125"/>
      <c r="D27" s="125"/>
      <c r="E27" s="125"/>
      <c r="F27" s="125"/>
      <c r="G27" s="125"/>
      <c r="H27" s="125"/>
      <c r="I27" s="142">
        <f t="shared" ref="I27:L27" si="20">SUM(I23:I26)</f>
        <v>2.576186441</v>
      </c>
      <c r="J27" s="131">
        <f t="shared" si="20"/>
        <v>3.022853107</v>
      </c>
      <c r="K27" s="142">
        <f t="shared" si="20"/>
        <v>3.734661017</v>
      </c>
      <c r="L27" s="142">
        <f t="shared" si="20"/>
        <v>4.786468927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125"/>
      <c r="B28" s="125"/>
      <c r="C28" s="125"/>
      <c r="D28" s="125"/>
      <c r="E28" s="125"/>
      <c r="F28" s="125"/>
      <c r="G28" s="125"/>
      <c r="H28" s="125"/>
      <c r="I28" s="125"/>
      <c r="J28" s="128"/>
      <c r="K28" s="125"/>
      <c r="L28" s="125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125"/>
      <c r="B29" s="143" t="s">
        <v>317</v>
      </c>
      <c r="C29" s="144">
        <v>1.0</v>
      </c>
      <c r="D29" s="144">
        <v>1.0</v>
      </c>
      <c r="E29" s="144">
        <v>1.0</v>
      </c>
      <c r="F29" s="144">
        <v>1.0</v>
      </c>
      <c r="G29" s="143">
        <v>20.0</v>
      </c>
      <c r="H29" s="143">
        <v>1.13</v>
      </c>
      <c r="I29" s="144">
        <f t="shared" ref="I29:I34" si="21">(C29*H29)/G29</f>
        <v>0.0565</v>
      </c>
      <c r="J29" s="128">
        <f t="shared" ref="J29:J34" si="22">D29*H29/G29</f>
        <v>0.0565</v>
      </c>
      <c r="K29" s="144">
        <f t="shared" ref="K29:K34" si="23">(C29*H29)/G29</f>
        <v>0.0565</v>
      </c>
      <c r="L29" s="144">
        <f t="shared" ref="L29:L34" si="24">(F29*H29)/G29</f>
        <v>0.0565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125"/>
      <c r="B30" s="143" t="s">
        <v>318</v>
      </c>
      <c r="C30" s="144">
        <v>1.0</v>
      </c>
      <c r="D30" s="144">
        <v>1.0</v>
      </c>
      <c r="E30" s="144">
        <v>1.0</v>
      </c>
      <c r="F30" s="144">
        <v>1.0</v>
      </c>
      <c r="G30" s="143">
        <v>1000.0</v>
      </c>
      <c r="H30" s="143">
        <v>2.05</v>
      </c>
      <c r="I30" s="144">
        <f t="shared" si="21"/>
        <v>0.00205</v>
      </c>
      <c r="J30" s="128">
        <f t="shared" si="22"/>
        <v>0.00205</v>
      </c>
      <c r="K30" s="144">
        <f t="shared" si="23"/>
        <v>0.00205</v>
      </c>
      <c r="L30" s="144">
        <f t="shared" si="24"/>
        <v>0.00205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125"/>
      <c r="B31" s="143" t="s">
        <v>204</v>
      </c>
      <c r="C31" s="143">
        <v>30.0</v>
      </c>
      <c r="D31" s="143">
        <v>30.0</v>
      </c>
      <c r="E31" s="143">
        <v>35.0</v>
      </c>
      <c r="F31" s="143">
        <v>40.0</v>
      </c>
      <c r="G31" s="143">
        <v>60.0</v>
      </c>
      <c r="H31" s="143">
        <v>1.0</v>
      </c>
      <c r="I31" s="144">
        <f t="shared" si="21"/>
        <v>0.5</v>
      </c>
      <c r="J31" s="128">
        <f t="shared" si="22"/>
        <v>0.5</v>
      </c>
      <c r="K31" s="144">
        <f t="shared" si="23"/>
        <v>0.5</v>
      </c>
      <c r="L31" s="144">
        <f t="shared" si="24"/>
        <v>0.6666666667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145" t="s">
        <v>319</v>
      </c>
      <c r="B32" s="143" t="s">
        <v>206</v>
      </c>
      <c r="C32" s="143">
        <v>12.0</v>
      </c>
      <c r="D32" s="143">
        <v>12.0</v>
      </c>
      <c r="E32" s="143">
        <v>12.0</v>
      </c>
      <c r="F32" s="143">
        <v>12.0</v>
      </c>
      <c r="G32" s="143">
        <v>1000.0</v>
      </c>
      <c r="H32" s="143">
        <v>1.97</v>
      </c>
      <c r="I32" s="144">
        <f t="shared" si="21"/>
        <v>0.02364</v>
      </c>
      <c r="J32" s="128">
        <f t="shared" si="22"/>
        <v>0.02364</v>
      </c>
      <c r="K32" s="144">
        <f t="shared" si="23"/>
        <v>0.02364</v>
      </c>
      <c r="L32" s="144">
        <f t="shared" si="24"/>
        <v>0.02364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145" t="s">
        <v>320</v>
      </c>
      <c r="B33" s="143" t="s">
        <v>208</v>
      </c>
      <c r="C33" s="143">
        <v>12.0</v>
      </c>
      <c r="D33" s="143">
        <v>12.0</v>
      </c>
      <c r="E33" s="143">
        <v>12.0</v>
      </c>
      <c r="F33" s="143">
        <v>12.0</v>
      </c>
      <c r="G33" s="143">
        <v>60.0</v>
      </c>
      <c r="H33" s="143">
        <v>1.0</v>
      </c>
      <c r="I33" s="144">
        <f t="shared" si="21"/>
        <v>0.2</v>
      </c>
      <c r="J33" s="128">
        <f t="shared" si="22"/>
        <v>0.2</v>
      </c>
      <c r="K33" s="144">
        <f t="shared" si="23"/>
        <v>0.2</v>
      </c>
      <c r="L33" s="144">
        <f t="shared" si="24"/>
        <v>0.2</v>
      </c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125"/>
      <c r="B34" s="143" t="s">
        <v>321</v>
      </c>
      <c r="C34" s="143">
        <v>2.0</v>
      </c>
      <c r="D34" s="143">
        <v>2.0</v>
      </c>
      <c r="E34" s="143">
        <v>2.0</v>
      </c>
      <c r="F34" s="143">
        <v>22.0</v>
      </c>
      <c r="G34" s="143">
        <v>12.0</v>
      </c>
      <c r="H34" s="143">
        <v>2.5</v>
      </c>
      <c r="I34" s="144">
        <f t="shared" si="21"/>
        <v>0.4166666667</v>
      </c>
      <c r="J34" s="128">
        <f t="shared" si="22"/>
        <v>0.4166666667</v>
      </c>
      <c r="K34" s="144">
        <f t="shared" si="23"/>
        <v>0.4166666667</v>
      </c>
      <c r="L34" s="144">
        <f t="shared" si="24"/>
        <v>4.583333333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125"/>
      <c r="B35" s="144"/>
      <c r="C35" s="144"/>
      <c r="D35" s="144"/>
      <c r="E35" s="144"/>
      <c r="F35" s="144"/>
      <c r="G35" s="144"/>
      <c r="H35" s="144"/>
      <c r="I35" s="144"/>
      <c r="J35" s="128"/>
      <c r="K35" s="144"/>
      <c r="L35" s="144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125"/>
      <c r="B36" s="144"/>
      <c r="C36" s="144"/>
      <c r="D36" s="144"/>
      <c r="E36" s="144"/>
      <c r="F36" s="144"/>
      <c r="G36" s="144"/>
      <c r="H36" s="144"/>
      <c r="I36" s="144"/>
      <c r="J36" s="128"/>
      <c r="K36" s="144"/>
      <c r="L36" s="144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125"/>
      <c r="B37" s="146"/>
      <c r="C37" s="146"/>
      <c r="D37" s="146"/>
      <c r="E37" s="146"/>
      <c r="F37" s="146"/>
      <c r="G37" s="146"/>
      <c r="H37" s="146"/>
      <c r="I37" s="147">
        <f t="shared" ref="I37:L37" si="25">SUM(I29:I36)</f>
        <v>1.198856667</v>
      </c>
      <c r="J37" s="128">
        <f t="shared" si="25"/>
        <v>1.198856667</v>
      </c>
      <c r="K37" s="147">
        <f t="shared" si="25"/>
        <v>1.198856667</v>
      </c>
      <c r="L37" s="147">
        <f t="shared" si="25"/>
        <v>5.53219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8"/>
      <c r="K38" s="125"/>
      <c r="L38" s="125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125"/>
      <c r="B39" s="125"/>
      <c r="C39" s="125"/>
      <c r="D39" s="125"/>
      <c r="E39" s="125"/>
      <c r="F39" s="125"/>
      <c r="G39" s="125"/>
      <c r="H39" s="125"/>
      <c r="I39" s="125"/>
      <c r="J39" s="128"/>
      <c r="K39" s="125"/>
      <c r="L39" s="125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125"/>
      <c r="B40" s="148" t="s">
        <v>322</v>
      </c>
      <c r="C40" s="148">
        <v>1.0</v>
      </c>
      <c r="D40" s="148">
        <v>1.0</v>
      </c>
      <c r="E40" s="148">
        <v>1.0</v>
      </c>
      <c r="F40" s="148">
        <v>1.0</v>
      </c>
      <c r="G40" s="148">
        <v>1.0</v>
      </c>
      <c r="H40" s="148">
        <v>1.8</v>
      </c>
      <c r="I40" s="149">
        <f t="shared" ref="I40:I47" si="26">(C40*H40)/G40</f>
        <v>1.8</v>
      </c>
      <c r="J40" s="128">
        <f t="shared" ref="J40:J47" si="27">D40*H40/G40</f>
        <v>1.8</v>
      </c>
      <c r="K40" s="149">
        <f t="shared" ref="K40:K47" si="28">(C40*H40)/G40</f>
        <v>1.8</v>
      </c>
      <c r="L40" s="149">
        <f t="shared" ref="L40:L47" si="29">(F40*H40)/G40</f>
        <v>1.8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141"/>
      <c r="B41" s="148" t="s">
        <v>323</v>
      </c>
      <c r="C41" s="148">
        <v>1.0</v>
      </c>
      <c r="D41" s="148">
        <v>1.0</v>
      </c>
      <c r="E41" s="148">
        <v>1.0</v>
      </c>
      <c r="F41" s="148">
        <v>1.0</v>
      </c>
      <c r="G41" s="148">
        <v>6.0</v>
      </c>
      <c r="H41" s="148">
        <v>1.0</v>
      </c>
      <c r="I41" s="149">
        <f t="shared" si="26"/>
        <v>0.1666666667</v>
      </c>
      <c r="J41" s="128">
        <f t="shared" si="27"/>
        <v>0.1666666667</v>
      </c>
      <c r="K41" s="149">
        <f t="shared" si="28"/>
        <v>0.1666666667</v>
      </c>
      <c r="L41" s="149">
        <f t="shared" si="29"/>
        <v>0.1666666667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125"/>
      <c r="B42" s="148" t="s">
        <v>324</v>
      </c>
      <c r="C42" s="148">
        <v>1.0</v>
      </c>
      <c r="D42" s="148">
        <v>1.0</v>
      </c>
      <c r="E42" s="148">
        <v>1.0</v>
      </c>
      <c r="F42" s="148">
        <v>1.0</v>
      </c>
      <c r="G42" s="148">
        <v>1.0</v>
      </c>
      <c r="H42" s="148">
        <v>0.9</v>
      </c>
      <c r="I42" s="149">
        <f t="shared" si="26"/>
        <v>0.9</v>
      </c>
      <c r="J42" s="128">
        <f t="shared" si="27"/>
        <v>0.9</v>
      </c>
      <c r="K42" s="149">
        <f t="shared" si="28"/>
        <v>0.9</v>
      </c>
      <c r="L42" s="149">
        <f t="shared" si="29"/>
        <v>0.9</v>
      </c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150" t="s">
        <v>325</v>
      </c>
      <c r="B43" s="148" t="s">
        <v>326</v>
      </c>
      <c r="C43" s="148">
        <v>1.0</v>
      </c>
      <c r="D43" s="148">
        <v>1.0</v>
      </c>
      <c r="E43" s="148">
        <v>1.0</v>
      </c>
      <c r="F43" s="148">
        <v>1.0</v>
      </c>
      <c r="G43" s="148">
        <v>1.0</v>
      </c>
      <c r="H43" s="148">
        <v>2.0</v>
      </c>
      <c r="I43" s="149">
        <f t="shared" si="26"/>
        <v>2</v>
      </c>
      <c r="J43" s="128">
        <f t="shared" si="27"/>
        <v>2</v>
      </c>
      <c r="K43" s="149">
        <f t="shared" si="28"/>
        <v>2</v>
      </c>
      <c r="L43" s="149">
        <f t="shared" si="29"/>
        <v>2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125"/>
      <c r="B44" s="148" t="s">
        <v>327</v>
      </c>
      <c r="C44" s="148">
        <v>1.0</v>
      </c>
      <c r="D44" s="148">
        <v>1.0</v>
      </c>
      <c r="E44" s="148">
        <v>1.0</v>
      </c>
      <c r="F44" s="148">
        <v>1.0</v>
      </c>
      <c r="G44" s="148">
        <v>500.0</v>
      </c>
      <c r="H44" s="148">
        <v>0.85</v>
      </c>
      <c r="I44" s="149">
        <f t="shared" si="26"/>
        <v>0.0017</v>
      </c>
      <c r="J44" s="128">
        <f t="shared" si="27"/>
        <v>0.0017</v>
      </c>
      <c r="K44" s="149">
        <f t="shared" si="28"/>
        <v>0.0017</v>
      </c>
      <c r="L44" s="149">
        <f t="shared" si="29"/>
        <v>0.0017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125"/>
      <c r="B45" s="148" t="s">
        <v>328</v>
      </c>
      <c r="C45" s="148">
        <v>2.0</v>
      </c>
      <c r="D45" s="148">
        <v>2.0</v>
      </c>
      <c r="E45" s="148">
        <v>2.0</v>
      </c>
      <c r="F45" s="148">
        <v>2.0</v>
      </c>
      <c r="G45" s="148">
        <v>2.0</v>
      </c>
      <c r="H45" s="148">
        <v>0.18</v>
      </c>
      <c r="I45" s="149">
        <f t="shared" si="26"/>
        <v>0.18</v>
      </c>
      <c r="J45" s="128">
        <f t="shared" si="27"/>
        <v>0.18</v>
      </c>
      <c r="K45" s="149">
        <f t="shared" si="28"/>
        <v>0.18</v>
      </c>
      <c r="L45" s="149">
        <f t="shared" si="29"/>
        <v>0.18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125"/>
      <c r="B46" s="148" t="s">
        <v>329</v>
      </c>
      <c r="C46" s="148">
        <v>10.0</v>
      </c>
      <c r="D46" s="148">
        <v>10.0</v>
      </c>
      <c r="E46" s="148">
        <v>10.0</v>
      </c>
      <c r="F46" s="148">
        <v>10.0</v>
      </c>
      <c r="G46" s="148">
        <v>100.0</v>
      </c>
      <c r="H46" s="148">
        <v>6.0</v>
      </c>
      <c r="I46" s="149">
        <f t="shared" si="26"/>
        <v>0.6</v>
      </c>
      <c r="J46" s="128">
        <f t="shared" si="27"/>
        <v>0.6</v>
      </c>
      <c r="K46" s="149">
        <f t="shared" si="28"/>
        <v>0.6</v>
      </c>
      <c r="L46" s="149">
        <f t="shared" si="29"/>
        <v>0.6</v>
      </c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125"/>
      <c r="B47" s="148" t="s">
        <v>330</v>
      </c>
      <c r="C47" s="148">
        <v>3.0</v>
      </c>
      <c r="D47" s="148">
        <v>3.0</v>
      </c>
      <c r="E47" s="148">
        <v>3.0</v>
      </c>
      <c r="F47" s="148">
        <v>3.0</v>
      </c>
      <c r="G47" s="148">
        <v>10.0</v>
      </c>
      <c r="H47" s="148">
        <v>1.0</v>
      </c>
      <c r="I47" s="149">
        <f t="shared" si="26"/>
        <v>0.3</v>
      </c>
      <c r="J47" s="128">
        <f t="shared" si="27"/>
        <v>0.3</v>
      </c>
      <c r="K47" s="149">
        <f t="shared" si="28"/>
        <v>0.3</v>
      </c>
      <c r="L47" s="149">
        <f t="shared" si="29"/>
        <v>0.3</v>
      </c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125"/>
      <c r="B48" s="125"/>
      <c r="C48" s="125"/>
      <c r="D48" s="125"/>
      <c r="E48" s="125"/>
      <c r="F48" s="125"/>
      <c r="G48" s="125"/>
      <c r="H48" s="125"/>
      <c r="I48" s="151">
        <f t="shared" ref="I48:L48" si="30">SUM(I40:I47)</f>
        <v>5.948366667</v>
      </c>
      <c r="J48" s="131">
        <f t="shared" si="30"/>
        <v>5.948366667</v>
      </c>
      <c r="K48" s="151">
        <f t="shared" si="30"/>
        <v>5.948366667</v>
      </c>
      <c r="L48" s="151">
        <f t="shared" si="30"/>
        <v>5.948366667</v>
      </c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132"/>
      <c r="C49" s="132"/>
      <c r="D49" s="132"/>
      <c r="E49" s="132"/>
      <c r="F49" s="132"/>
      <c r="G49" s="132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132" t="s">
        <v>331</v>
      </c>
      <c r="I50" s="269">
        <f t="shared" ref="I50:L50" si="31">SUM(I9+I14+I21+I27+I37+I48)</f>
        <v>15.07136119</v>
      </c>
      <c r="J50" s="269">
        <f t="shared" si="31"/>
        <v>16.4069578</v>
      </c>
      <c r="K50" s="269">
        <f t="shared" si="31"/>
        <v>18.47810469</v>
      </c>
      <c r="L50" s="269">
        <f t="shared" si="31"/>
        <v>25.59972277</v>
      </c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132" t="s">
        <v>238</v>
      </c>
      <c r="I51" s="132">
        <v>30.0</v>
      </c>
      <c r="J51" s="132">
        <v>35.0</v>
      </c>
      <c r="K51" s="132">
        <v>40.0</v>
      </c>
      <c r="L51" s="132">
        <v>45.0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132" t="s">
        <v>10</v>
      </c>
      <c r="I52" s="269">
        <f t="shared" ref="I52:L52" si="32">I51-I50</f>
        <v>14.92863881</v>
      </c>
      <c r="J52" s="269">
        <f t="shared" si="32"/>
        <v>18.5930422</v>
      </c>
      <c r="K52" s="269">
        <f t="shared" si="32"/>
        <v>21.52189531</v>
      </c>
      <c r="L52" s="269">
        <f t="shared" si="32"/>
        <v>19.40027723</v>
      </c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155"/>
      <c r="C54" s="57"/>
      <c r="D54" s="156"/>
      <c r="E54" s="156"/>
      <c r="F54" s="156"/>
      <c r="G54" s="57"/>
      <c r="H54" s="157"/>
      <c r="I54" s="157"/>
      <c r="J54" s="1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155"/>
      <c r="C55" s="57"/>
      <c r="D55" s="124"/>
      <c r="E55" s="156"/>
      <c r="F55" s="156"/>
      <c r="G55" s="132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124"/>
      <c r="E56" s="156"/>
      <c r="F56" s="156"/>
      <c r="G56" s="132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156"/>
      <c r="H57" s="156"/>
      <c r="I57" s="156"/>
      <c r="J57" s="156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132"/>
      <c r="H58" s="158"/>
      <c r="I58" s="158"/>
      <c r="J58" s="158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132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132"/>
      <c r="H60" s="132"/>
      <c r="I60" s="132"/>
      <c r="J60" s="132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132"/>
      <c r="H62" s="159"/>
      <c r="I62" s="159"/>
      <c r="J62" s="159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0"/>
    <col customWidth="1" min="2" max="2" width="18.0"/>
    <col customWidth="1" min="3" max="3" width="23.88"/>
    <col customWidth="1" min="4" max="4" width="17.63"/>
    <col customWidth="1" min="6" max="6" width="15.38"/>
    <col customWidth="1" min="8" max="8" width="23.0"/>
    <col customWidth="1" min="9" max="9" width="23.38"/>
  </cols>
  <sheetData>
    <row r="1">
      <c r="A1" s="93"/>
      <c r="B1" s="93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270" t="s">
        <v>476</v>
      </c>
      <c r="B2" s="270"/>
      <c r="C2" s="271"/>
      <c r="D2" s="271"/>
      <c r="E2" s="271"/>
      <c r="F2" s="271"/>
      <c r="G2" s="271"/>
      <c r="H2" s="271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</row>
    <row r="3">
      <c r="A3" s="272"/>
      <c r="B3" s="270" t="s">
        <v>193</v>
      </c>
      <c r="C3" s="270" t="s">
        <v>477</v>
      </c>
      <c r="D3" s="270" t="s">
        <v>478</v>
      </c>
      <c r="E3" s="270" t="s">
        <v>8</v>
      </c>
      <c r="F3" s="270" t="s">
        <v>479</v>
      </c>
      <c r="G3" s="270" t="s">
        <v>387</v>
      </c>
      <c r="H3" s="273" t="s">
        <v>480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>
      <c r="A4" s="199"/>
      <c r="B4" s="199" t="s">
        <v>470</v>
      </c>
      <c r="C4" s="199">
        <v>100.0</v>
      </c>
      <c r="D4" s="199">
        <v>50.0</v>
      </c>
      <c r="E4" s="199">
        <v>1.0</v>
      </c>
      <c r="F4" s="199">
        <v>1000.0</v>
      </c>
      <c r="G4" s="200">
        <f t="shared" ref="G4:G16" si="1">(C4*E4/F4)</f>
        <v>0.1</v>
      </c>
      <c r="H4" s="200">
        <f t="shared" ref="H4:H16" si="2">SUM(D4*E4/F4)</f>
        <v>0.05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>
      <c r="A5" s="199"/>
      <c r="B5" s="199" t="s">
        <v>481</v>
      </c>
      <c r="C5" s="199">
        <v>240.0</v>
      </c>
      <c r="D5" s="199">
        <v>120.0</v>
      </c>
      <c r="E5" s="199">
        <v>1.09</v>
      </c>
      <c r="F5" s="199">
        <v>1000.0</v>
      </c>
      <c r="G5" s="200">
        <f t="shared" si="1"/>
        <v>0.2616</v>
      </c>
      <c r="H5" s="200">
        <f t="shared" si="2"/>
        <v>0.1308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>
      <c r="A6" s="199"/>
      <c r="B6" s="199" t="s">
        <v>258</v>
      </c>
      <c r="C6" s="199">
        <v>5.0</v>
      </c>
      <c r="D6" s="199">
        <v>3.0</v>
      </c>
      <c r="E6" s="199">
        <v>0.4</v>
      </c>
      <c r="F6" s="199">
        <v>1000.0</v>
      </c>
      <c r="G6" s="200">
        <f t="shared" si="1"/>
        <v>0.002</v>
      </c>
      <c r="H6" s="200">
        <f t="shared" si="2"/>
        <v>0.0012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</row>
    <row r="7">
      <c r="A7" s="199"/>
      <c r="B7" s="199" t="s">
        <v>409</v>
      </c>
      <c r="C7" s="199">
        <v>5.0</v>
      </c>
      <c r="D7" s="199">
        <v>3.0</v>
      </c>
      <c r="E7" s="199">
        <v>0.6</v>
      </c>
      <c r="F7" s="199">
        <v>1000.0</v>
      </c>
      <c r="G7" s="200">
        <f t="shared" si="1"/>
        <v>0.003</v>
      </c>
      <c r="H7" s="200">
        <f t="shared" si="2"/>
        <v>0.0018</v>
      </c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>
      <c r="A8" s="199"/>
      <c r="B8" s="199" t="s">
        <v>475</v>
      </c>
      <c r="C8" s="199">
        <v>5.0</v>
      </c>
      <c r="D8" s="199">
        <v>3.0</v>
      </c>
      <c r="E8" s="199">
        <v>0.9</v>
      </c>
      <c r="F8" s="199">
        <v>1000.0</v>
      </c>
      <c r="G8" s="200">
        <f t="shared" si="1"/>
        <v>0.0045</v>
      </c>
      <c r="H8" s="200">
        <f t="shared" si="2"/>
        <v>0.0027</v>
      </c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</row>
    <row r="9">
      <c r="A9" s="199" t="s">
        <v>303</v>
      </c>
      <c r="B9" s="199" t="s">
        <v>468</v>
      </c>
      <c r="C9" s="199">
        <v>10.0</v>
      </c>
      <c r="D9" s="199">
        <v>5.0</v>
      </c>
      <c r="E9" s="199">
        <v>28.02</v>
      </c>
      <c r="F9" s="199">
        <v>1000.0</v>
      </c>
      <c r="G9" s="200">
        <f t="shared" si="1"/>
        <v>0.2802</v>
      </c>
      <c r="H9" s="200">
        <f t="shared" si="2"/>
        <v>0.1401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</row>
    <row r="10">
      <c r="A10" s="199" t="s">
        <v>482</v>
      </c>
      <c r="B10" s="199" t="s">
        <v>456</v>
      </c>
      <c r="C10" s="199">
        <v>30.0</v>
      </c>
      <c r="D10" s="199">
        <v>15.0</v>
      </c>
      <c r="E10" s="199">
        <v>5.0</v>
      </c>
      <c r="F10" s="199">
        <v>250.0</v>
      </c>
      <c r="G10" s="200">
        <f t="shared" si="1"/>
        <v>0.6</v>
      </c>
      <c r="H10" s="200">
        <f t="shared" si="2"/>
        <v>0.3</v>
      </c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>
      <c r="A11" s="199"/>
      <c r="B11" s="199" t="s">
        <v>253</v>
      </c>
      <c r="C11" s="199">
        <v>3.0</v>
      </c>
      <c r="D11" s="199">
        <v>2.0</v>
      </c>
      <c r="E11" s="199">
        <v>3.0</v>
      </c>
      <c r="F11" s="199">
        <v>12.0</v>
      </c>
      <c r="G11" s="200">
        <f t="shared" si="1"/>
        <v>0.75</v>
      </c>
      <c r="H11" s="200">
        <f t="shared" si="2"/>
        <v>0.5</v>
      </c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>
      <c r="A12" s="199"/>
      <c r="B12" s="199" t="s">
        <v>252</v>
      </c>
      <c r="C12" s="199">
        <v>250.0</v>
      </c>
      <c r="D12" s="199">
        <v>125.0</v>
      </c>
      <c r="E12" s="199">
        <v>1.45</v>
      </c>
      <c r="F12" s="199">
        <v>1000.0</v>
      </c>
      <c r="G12" s="200">
        <f t="shared" si="1"/>
        <v>0.3625</v>
      </c>
      <c r="H12" s="200">
        <f t="shared" si="2"/>
        <v>0.18125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r="13">
      <c r="A13" s="199"/>
      <c r="B13" s="199" t="s">
        <v>483</v>
      </c>
      <c r="C13" s="199">
        <v>240.0</v>
      </c>
      <c r="D13" s="199">
        <v>125.0</v>
      </c>
      <c r="E13" s="199">
        <v>1.8</v>
      </c>
      <c r="F13" s="199">
        <v>1000.0</v>
      </c>
      <c r="G13" s="200">
        <f t="shared" si="1"/>
        <v>0.432</v>
      </c>
      <c r="H13" s="200">
        <f t="shared" si="2"/>
        <v>0.225</v>
      </c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</row>
    <row r="14">
      <c r="A14" s="199"/>
      <c r="B14" s="199" t="s">
        <v>255</v>
      </c>
      <c r="C14" s="199">
        <v>10.0</v>
      </c>
      <c r="D14" s="199">
        <v>5.0</v>
      </c>
      <c r="E14" s="199">
        <v>6.9</v>
      </c>
      <c r="F14" s="199">
        <v>236.0</v>
      </c>
      <c r="G14" s="200">
        <f t="shared" si="1"/>
        <v>0.2923728814</v>
      </c>
      <c r="H14" s="200">
        <f t="shared" si="2"/>
        <v>0.1461864407</v>
      </c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</row>
    <row r="15">
      <c r="A15" s="199"/>
      <c r="B15" s="199" t="s">
        <v>484</v>
      </c>
      <c r="C15" s="199">
        <v>10.0</v>
      </c>
      <c r="D15" s="199">
        <v>10.0</v>
      </c>
      <c r="E15" s="199">
        <v>2.4</v>
      </c>
      <c r="F15" s="199">
        <v>25.0</v>
      </c>
      <c r="G15" s="200">
        <f t="shared" si="1"/>
        <v>0.96</v>
      </c>
      <c r="H15" s="200">
        <f t="shared" si="2"/>
        <v>0.96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</row>
    <row r="16">
      <c r="A16" s="199"/>
      <c r="B16" s="199" t="s">
        <v>368</v>
      </c>
      <c r="C16" s="199">
        <v>1.0</v>
      </c>
      <c r="D16" s="199">
        <v>1.0</v>
      </c>
      <c r="E16" s="199">
        <v>1.0</v>
      </c>
      <c r="F16" s="199">
        <v>1.0</v>
      </c>
      <c r="G16" s="200">
        <f t="shared" si="1"/>
        <v>1</v>
      </c>
      <c r="H16" s="200">
        <f t="shared" si="2"/>
        <v>1</v>
      </c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</row>
    <row r="17">
      <c r="A17" s="79"/>
      <c r="B17" s="79"/>
      <c r="C17" s="79"/>
      <c r="D17" s="79"/>
      <c r="E17" s="79"/>
      <c r="F17" s="79"/>
      <c r="G17" s="274">
        <f t="shared" ref="G17:H17" si="3">SUM(G4:G16)</f>
        <v>5.048172881</v>
      </c>
      <c r="H17" s="275">
        <f t="shared" si="3"/>
        <v>3.639036441</v>
      </c>
      <c r="I17" s="7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>
      <c r="A18" s="235" t="s">
        <v>485</v>
      </c>
      <c r="B18" s="276"/>
      <c r="C18" s="276"/>
      <c r="D18" s="276"/>
      <c r="E18" s="276"/>
      <c r="F18" s="276"/>
      <c r="G18" s="276"/>
      <c r="H18" s="277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>
      <c r="A19" s="183"/>
      <c r="B19" s="183" t="s">
        <v>486</v>
      </c>
      <c r="C19" s="183">
        <v>200.0</v>
      </c>
      <c r="D19" s="183">
        <v>100.0</v>
      </c>
      <c r="E19" s="183">
        <v>1.25</v>
      </c>
      <c r="F19" s="183">
        <v>250.0</v>
      </c>
      <c r="G19" s="184">
        <f t="shared" ref="G19:G23" si="4">(C19*E19/F19)</f>
        <v>1</v>
      </c>
      <c r="H19" s="58">
        <f t="shared" ref="H19:H23" si="5">SUM(D19*E19/F19)</f>
        <v>0.5</v>
      </c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</row>
    <row r="20">
      <c r="A20" s="183"/>
      <c r="B20" s="183" t="s">
        <v>309</v>
      </c>
      <c r="C20" s="183">
        <v>300.0</v>
      </c>
      <c r="D20" s="183">
        <v>150.0</v>
      </c>
      <c r="E20" s="183">
        <v>2.39</v>
      </c>
      <c r="F20" s="183">
        <v>600.0</v>
      </c>
      <c r="G20" s="184">
        <f t="shared" si="4"/>
        <v>1.195</v>
      </c>
      <c r="H20" s="58">
        <f t="shared" si="5"/>
        <v>0.5975</v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</row>
    <row r="21">
      <c r="A21" s="183"/>
      <c r="B21" s="183" t="s">
        <v>255</v>
      </c>
      <c r="C21" s="183">
        <v>10.0</v>
      </c>
      <c r="D21" s="183">
        <v>5.0</v>
      </c>
      <c r="E21" s="183">
        <v>6.9</v>
      </c>
      <c r="F21" s="183">
        <v>236.0</v>
      </c>
      <c r="G21" s="184">
        <f t="shared" si="4"/>
        <v>0.2923728814</v>
      </c>
      <c r="H21" s="58">
        <f t="shared" si="5"/>
        <v>0.1461864407</v>
      </c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</row>
    <row r="22">
      <c r="A22" s="183"/>
      <c r="B22" s="183" t="s">
        <v>487</v>
      </c>
      <c r="C22" s="183">
        <v>80.0</v>
      </c>
      <c r="D22" s="183">
        <v>40.0</v>
      </c>
      <c r="E22" s="183">
        <v>1.49</v>
      </c>
      <c r="F22" s="183">
        <v>1000.0</v>
      </c>
      <c r="G22" s="184">
        <f t="shared" si="4"/>
        <v>0.1192</v>
      </c>
      <c r="H22" s="58">
        <f t="shared" si="5"/>
        <v>0.0596</v>
      </c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</row>
    <row r="23">
      <c r="A23" s="183"/>
      <c r="B23" s="183" t="s">
        <v>456</v>
      </c>
      <c r="C23" s="183">
        <v>30.0</v>
      </c>
      <c r="D23" s="183">
        <v>15.0</v>
      </c>
      <c r="E23" s="183">
        <v>5.0</v>
      </c>
      <c r="F23" s="183">
        <v>250.0</v>
      </c>
      <c r="G23" s="184">
        <f t="shared" si="4"/>
        <v>0.6</v>
      </c>
      <c r="H23" s="58">
        <f t="shared" si="5"/>
        <v>0.3</v>
      </c>
      <c r="I23" s="93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</row>
    <row r="24">
      <c r="A24" s="93"/>
      <c r="B24" s="93"/>
      <c r="C24" s="79"/>
      <c r="D24" s="79"/>
      <c r="E24" s="79"/>
      <c r="F24" s="79"/>
      <c r="G24" s="274">
        <f t="shared" ref="G24:H24" si="6">SUM(G19:G23)</f>
        <v>3.206572881</v>
      </c>
      <c r="H24" s="275">
        <f t="shared" si="6"/>
        <v>1.603286441</v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278" t="s">
        <v>488</v>
      </c>
      <c r="B25" s="276"/>
      <c r="C25" s="276"/>
      <c r="D25" s="276"/>
      <c r="E25" s="276"/>
      <c r="F25" s="276"/>
      <c r="G25" s="276"/>
      <c r="H25" s="276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93"/>
      <c r="B26" s="183" t="s">
        <v>309</v>
      </c>
      <c r="C26" s="183">
        <v>200.0</v>
      </c>
      <c r="D26" s="183">
        <v>100.0</v>
      </c>
      <c r="E26" s="183">
        <v>2.39</v>
      </c>
      <c r="F26" s="183">
        <v>600.0</v>
      </c>
      <c r="G26" s="184">
        <f t="shared" ref="G26:G28" si="7">(C26*E26/F26)</f>
        <v>0.7966666667</v>
      </c>
      <c r="H26" s="184">
        <f t="shared" ref="H26:H28" si="8">SUM(D26*E26/F26)</f>
        <v>0.3983333333</v>
      </c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</row>
    <row r="27">
      <c r="A27" s="93"/>
      <c r="B27" s="183" t="s">
        <v>489</v>
      </c>
      <c r="C27" s="183">
        <v>300.0</v>
      </c>
      <c r="D27" s="183">
        <v>150.0</v>
      </c>
      <c r="E27" s="183">
        <v>1.15</v>
      </c>
      <c r="F27" s="183">
        <v>100.0</v>
      </c>
      <c r="G27" s="184">
        <f t="shared" si="7"/>
        <v>3.45</v>
      </c>
      <c r="H27" s="184">
        <f t="shared" si="8"/>
        <v>1.725</v>
      </c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</row>
    <row r="28">
      <c r="A28" s="79"/>
      <c r="B28" s="183" t="s">
        <v>490</v>
      </c>
      <c r="C28" s="183">
        <v>10.0</v>
      </c>
      <c r="D28" s="183">
        <v>5.0</v>
      </c>
      <c r="E28" s="183">
        <v>2.34</v>
      </c>
      <c r="F28" s="183">
        <v>25.0</v>
      </c>
      <c r="G28" s="184">
        <f t="shared" si="7"/>
        <v>0.936</v>
      </c>
      <c r="H28" s="184">
        <f t="shared" si="8"/>
        <v>0.468</v>
      </c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</row>
    <row r="29">
      <c r="A29" s="79"/>
      <c r="B29" s="184"/>
      <c r="C29" s="184"/>
      <c r="D29" s="184"/>
      <c r="E29" s="184"/>
      <c r="F29" s="184"/>
      <c r="G29" s="279">
        <f t="shared" ref="G29:H29" si="9">SUM(G26:G27)</f>
        <v>4.246666667</v>
      </c>
      <c r="H29" s="279">
        <f t="shared" si="9"/>
        <v>2.123333333</v>
      </c>
      <c r="I29" s="6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</row>
    <row r="30">
      <c r="A30" s="79"/>
      <c r="B30" s="79"/>
      <c r="C30" s="79"/>
      <c r="D30" s="79"/>
      <c r="E30" s="79"/>
      <c r="F30" s="79"/>
      <c r="G30" s="79"/>
      <c r="H30" s="6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</row>
    <row r="31">
      <c r="A31" s="235" t="s">
        <v>325</v>
      </c>
      <c r="B31" s="183" t="s">
        <v>491</v>
      </c>
      <c r="C31" s="183">
        <v>1.0</v>
      </c>
      <c r="D31" s="183">
        <v>1.0</v>
      </c>
      <c r="E31" s="183">
        <v>5.0</v>
      </c>
      <c r="F31" s="183">
        <v>1.0</v>
      </c>
      <c r="G31" s="184">
        <f t="shared" ref="G31:G35" si="10">(C31*E31/F31)</f>
        <v>5</v>
      </c>
      <c r="H31" s="184">
        <f t="shared" ref="H31:H35" si="11">SUM(D31*E31/(F31))</f>
        <v>5</v>
      </c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</row>
    <row r="32">
      <c r="A32" s="79"/>
      <c r="B32" s="183" t="s">
        <v>492</v>
      </c>
      <c r="C32" s="183">
        <v>24.0</v>
      </c>
      <c r="D32" s="183">
        <v>12.0</v>
      </c>
      <c r="E32" s="183">
        <v>7.0</v>
      </c>
      <c r="F32" s="183">
        <v>300.0</v>
      </c>
      <c r="G32" s="184">
        <f t="shared" si="10"/>
        <v>0.56</v>
      </c>
      <c r="H32" s="184">
        <f t="shared" si="11"/>
        <v>0.28</v>
      </c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</row>
    <row r="33">
      <c r="A33" s="79"/>
      <c r="B33" s="183" t="s">
        <v>493</v>
      </c>
      <c r="C33" s="183">
        <v>2.0</v>
      </c>
      <c r="D33" s="183">
        <v>1.0</v>
      </c>
      <c r="E33" s="183">
        <v>19.0</v>
      </c>
      <c r="F33" s="183">
        <v>16.0</v>
      </c>
      <c r="G33" s="184">
        <f t="shared" si="10"/>
        <v>2.375</v>
      </c>
      <c r="H33" s="184">
        <f t="shared" si="11"/>
        <v>1.1875</v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</row>
    <row r="34">
      <c r="A34" s="79"/>
      <c r="B34" s="183" t="s">
        <v>494</v>
      </c>
      <c r="C34" s="183">
        <v>3.0</v>
      </c>
      <c r="D34" s="183">
        <v>2.0</v>
      </c>
      <c r="E34" s="183">
        <v>2.5</v>
      </c>
      <c r="F34" s="183">
        <v>100.0</v>
      </c>
      <c r="G34" s="184">
        <f t="shared" si="10"/>
        <v>0.075</v>
      </c>
      <c r="H34" s="184">
        <f t="shared" si="11"/>
        <v>0.05</v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</row>
    <row r="35">
      <c r="A35" s="79"/>
      <c r="B35" s="183" t="s">
        <v>495</v>
      </c>
      <c r="C35" s="183">
        <v>1.0</v>
      </c>
      <c r="D35" s="183">
        <v>1.0</v>
      </c>
      <c r="E35" s="183">
        <v>1.0</v>
      </c>
      <c r="F35" s="183">
        <v>1.0</v>
      </c>
      <c r="G35" s="184">
        <f t="shared" si="10"/>
        <v>1</v>
      </c>
      <c r="H35" s="184">
        <f t="shared" si="11"/>
        <v>1</v>
      </c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</row>
    <row r="36">
      <c r="A36" s="79"/>
      <c r="B36" s="184"/>
      <c r="C36" s="184"/>
      <c r="D36" s="184"/>
      <c r="E36" s="184"/>
      <c r="F36" s="184"/>
      <c r="G36" s="279">
        <f t="shared" ref="G36:H36" si="12">SUM(G31:G35)</f>
        <v>9.01</v>
      </c>
      <c r="H36" s="279">
        <f t="shared" si="12"/>
        <v>7.5175</v>
      </c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</row>
    <row r="39">
      <c r="A39" s="79"/>
      <c r="B39" s="79"/>
      <c r="C39" s="93" t="s">
        <v>496</v>
      </c>
      <c r="D39" s="93">
        <f>SUM(G17+G24+G36)</f>
        <v>17.26474576</v>
      </c>
      <c r="E39" s="79"/>
      <c r="F39" s="79"/>
      <c r="G39" s="93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</row>
    <row r="40">
      <c r="A40" s="79"/>
      <c r="B40" s="79"/>
      <c r="C40" s="93" t="s">
        <v>497</v>
      </c>
      <c r="D40" s="93">
        <f>SUM(H17+H24+H36)</f>
        <v>12.75982288</v>
      </c>
      <c r="E40" s="79"/>
      <c r="F40" s="79"/>
      <c r="G40" s="93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</row>
    <row r="41">
      <c r="A41" s="79"/>
      <c r="B41" s="79"/>
      <c r="C41" s="93" t="s">
        <v>498</v>
      </c>
      <c r="D41" s="79">
        <f>SUM(H17+H29+H36)</f>
        <v>13.27986977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</row>
    <row r="42">
      <c r="A42" s="79"/>
      <c r="B42" s="79"/>
      <c r="C42" s="93" t="s">
        <v>499</v>
      </c>
      <c r="D42" s="93">
        <f>SUM(G17+G29+G36)</f>
        <v>18.30483955</v>
      </c>
      <c r="E42" s="79"/>
      <c r="F42" s="93"/>
      <c r="G42" s="93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0"/>
    <col customWidth="1" min="2" max="2" width="18.0"/>
    <col customWidth="1" min="3" max="3" width="23.88"/>
    <col customWidth="1" min="4" max="4" width="17.63"/>
    <col customWidth="1" min="6" max="6" width="15.38"/>
    <col customWidth="1" min="8" max="8" width="23.0"/>
    <col customWidth="1" min="9" max="9" width="23.38"/>
  </cols>
  <sheetData>
    <row r="1">
      <c r="A1" s="93"/>
      <c r="B1" s="93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270" t="s">
        <v>500</v>
      </c>
      <c r="B2" s="270"/>
      <c r="C2" s="271"/>
      <c r="D2" s="271"/>
      <c r="E2" s="271"/>
      <c r="F2" s="271"/>
      <c r="G2" s="271"/>
      <c r="H2" s="271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</row>
    <row r="3">
      <c r="A3" s="272"/>
      <c r="B3" s="270" t="s">
        <v>193</v>
      </c>
      <c r="C3" s="270" t="s">
        <v>477</v>
      </c>
      <c r="D3" s="270" t="s">
        <v>478</v>
      </c>
      <c r="E3" s="270" t="s">
        <v>8</v>
      </c>
      <c r="F3" s="270" t="s">
        <v>479</v>
      </c>
      <c r="G3" s="270" t="s">
        <v>387</v>
      </c>
      <c r="H3" s="273" t="s">
        <v>480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>
      <c r="A4" s="199"/>
      <c r="B4" s="199" t="s">
        <v>251</v>
      </c>
      <c r="C4" s="199">
        <v>100.0</v>
      </c>
      <c r="D4" s="199"/>
      <c r="E4" s="199">
        <v>2.39</v>
      </c>
      <c r="F4" s="199">
        <v>250.0</v>
      </c>
      <c r="G4" s="200">
        <f t="shared" ref="G4:G13" si="1">(C4*E4/F4)</f>
        <v>0.956</v>
      </c>
      <c r="H4" s="200">
        <f t="shared" ref="H4:H13" si="2">SUM(D4*E4/F4)</f>
        <v>0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>
      <c r="A5" s="199"/>
      <c r="B5" s="199" t="s">
        <v>252</v>
      </c>
      <c r="C5" s="199">
        <v>100.0</v>
      </c>
      <c r="D5" s="199"/>
      <c r="E5" s="199">
        <v>1.49</v>
      </c>
      <c r="F5" s="199">
        <v>1000.0</v>
      </c>
      <c r="G5" s="200">
        <f t="shared" si="1"/>
        <v>0.149</v>
      </c>
      <c r="H5" s="200">
        <f t="shared" si="2"/>
        <v>0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>
      <c r="A6" s="199"/>
      <c r="B6" s="199" t="s">
        <v>397</v>
      </c>
      <c r="C6" s="199">
        <v>60.0</v>
      </c>
      <c r="D6" s="199"/>
      <c r="E6" s="199">
        <v>1.99</v>
      </c>
      <c r="F6" s="199">
        <v>1000.0</v>
      </c>
      <c r="G6" s="200">
        <f t="shared" si="1"/>
        <v>0.1194</v>
      </c>
      <c r="H6" s="200">
        <f t="shared" si="2"/>
        <v>0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</row>
    <row r="7">
      <c r="A7" s="199"/>
      <c r="B7" s="199" t="s">
        <v>253</v>
      </c>
      <c r="C7" s="199">
        <v>2.0</v>
      </c>
      <c r="D7" s="199"/>
      <c r="E7" s="199">
        <v>5.75</v>
      </c>
      <c r="F7" s="199">
        <v>24.0</v>
      </c>
      <c r="G7" s="200">
        <f t="shared" si="1"/>
        <v>0.4791666667</v>
      </c>
      <c r="H7" s="200">
        <f t="shared" si="2"/>
        <v>0</v>
      </c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>
      <c r="A8" s="199"/>
      <c r="B8" s="199" t="s">
        <v>501</v>
      </c>
      <c r="C8" s="199">
        <v>140.0</v>
      </c>
      <c r="D8" s="199"/>
      <c r="E8" s="199">
        <v>0.97</v>
      </c>
      <c r="F8" s="199">
        <v>1000.0</v>
      </c>
      <c r="G8" s="200">
        <f t="shared" si="1"/>
        <v>0.1358</v>
      </c>
      <c r="H8" s="200">
        <f t="shared" si="2"/>
        <v>0</v>
      </c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</row>
    <row r="9">
      <c r="A9" s="199" t="s">
        <v>502</v>
      </c>
      <c r="B9" s="199" t="s">
        <v>456</v>
      </c>
      <c r="C9" s="199">
        <v>40.0</v>
      </c>
      <c r="D9" s="199"/>
      <c r="E9" s="199">
        <v>6.75</v>
      </c>
      <c r="F9" s="199">
        <v>250.0</v>
      </c>
      <c r="G9" s="200">
        <f t="shared" si="1"/>
        <v>1.08</v>
      </c>
      <c r="H9" s="200">
        <f t="shared" si="2"/>
        <v>0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</row>
    <row r="10">
      <c r="A10" s="199" t="s">
        <v>306</v>
      </c>
      <c r="B10" s="199" t="s">
        <v>466</v>
      </c>
      <c r="C10" s="199">
        <v>140.0</v>
      </c>
      <c r="D10" s="199"/>
      <c r="E10" s="199">
        <v>1.09</v>
      </c>
      <c r="F10" s="199">
        <v>1000.0</v>
      </c>
      <c r="G10" s="200">
        <f t="shared" si="1"/>
        <v>0.1526</v>
      </c>
      <c r="H10" s="200">
        <f t="shared" si="2"/>
        <v>0</v>
      </c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>
      <c r="A11" s="199"/>
      <c r="B11" s="199" t="s">
        <v>468</v>
      </c>
      <c r="C11" s="199">
        <v>3.0</v>
      </c>
      <c r="D11" s="199"/>
      <c r="E11" s="199">
        <v>0.9</v>
      </c>
      <c r="F11" s="199">
        <v>90.0</v>
      </c>
      <c r="G11" s="200">
        <f t="shared" si="1"/>
        <v>0.03</v>
      </c>
      <c r="H11" s="200">
        <f t="shared" si="2"/>
        <v>0</v>
      </c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>
      <c r="A12" s="199"/>
      <c r="B12" s="199" t="s">
        <v>255</v>
      </c>
      <c r="C12" s="199">
        <v>3.0</v>
      </c>
      <c r="D12" s="199"/>
      <c r="E12" s="199">
        <v>6.9</v>
      </c>
      <c r="F12" s="199">
        <v>236.0</v>
      </c>
      <c r="G12" s="200">
        <f t="shared" si="1"/>
        <v>0.08771186441</v>
      </c>
      <c r="H12" s="200">
        <f t="shared" si="2"/>
        <v>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r="13">
      <c r="A13" s="199"/>
      <c r="B13" s="199" t="s">
        <v>258</v>
      </c>
      <c r="C13" s="199">
        <v>2.0</v>
      </c>
      <c r="D13" s="199"/>
      <c r="E13" s="199">
        <v>0.4</v>
      </c>
      <c r="F13" s="199">
        <v>1000.0</v>
      </c>
      <c r="G13" s="200">
        <f t="shared" si="1"/>
        <v>0.0008</v>
      </c>
      <c r="H13" s="200">
        <f t="shared" si="2"/>
        <v>0</v>
      </c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</row>
    <row r="14">
      <c r="A14" s="199"/>
      <c r="B14" s="199"/>
      <c r="C14" s="199"/>
      <c r="D14" s="199"/>
      <c r="E14" s="199"/>
      <c r="F14" s="199"/>
      <c r="G14" s="200"/>
      <c r="H14" s="200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</row>
    <row r="15">
      <c r="A15" s="199"/>
      <c r="B15" s="199"/>
      <c r="C15" s="199"/>
      <c r="D15" s="199"/>
      <c r="E15" s="199"/>
      <c r="F15" s="199"/>
      <c r="G15" s="200"/>
      <c r="H15" s="200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</row>
    <row r="16">
      <c r="A16" s="199"/>
      <c r="B16" s="199"/>
      <c r="C16" s="199"/>
      <c r="D16" s="199"/>
      <c r="E16" s="199"/>
      <c r="F16" s="199"/>
      <c r="G16" s="200"/>
      <c r="H16" s="200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</row>
    <row r="17">
      <c r="A17" s="79"/>
      <c r="B17" s="79"/>
      <c r="C17" s="79"/>
      <c r="D17" s="79"/>
      <c r="E17" s="79"/>
      <c r="F17" s="79"/>
      <c r="G17" s="274">
        <f t="shared" ref="G17:H17" si="3">SUM(G4:G16)</f>
        <v>3.190478531</v>
      </c>
      <c r="H17" s="275">
        <f t="shared" si="3"/>
        <v>0</v>
      </c>
      <c r="I17" s="7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>
      <c r="A18" s="235" t="s">
        <v>485</v>
      </c>
      <c r="B18" s="276"/>
      <c r="C18" s="276"/>
      <c r="D18" s="276"/>
      <c r="E18" s="276"/>
      <c r="F18" s="276"/>
      <c r="G18" s="276"/>
      <c r="H18" s="277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>
      <c r="A19" s="183"/>
      <c r="B19" s="183" t="s">
        <v>486</v>
      </c>
      <c r="C19" s="183">
        <v>200.0</v>
      </c>
      <c r="D19" s="183">
        <v>100.0</v>
      </c>
      <c r="E19" s="183">
        <v>1.25</v>
      </c>
      <c r="F19" s="183">
        <v>250.0</v>
      </c>
      <c r="G19" s="184">
        <f t="shared" ref="G19:G23" si="4">(C19*E19/F19)</f>
        <v>1</v>
      </c>
      <c r="H19" s="58">
        <f t="shared" ref="H19:H23" si="5">SUM(D19*E19/F19)</f>
        <v>0.5</v>
      </c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</row>
    <row r="20">
      <c r="A20" s="183"/>
      <c r="B20" s="183" t="s">
        <v>309</v>
      </c>
      <c r="C20" s="183">
        <v>300.0</v>
      </c>
      <c r="D20" s="183">
        <v>150.0</v>
      </c>
      <c r="E20" s="183">
        <v>2.39</v>
      </c>
      <c r="F20" s="183">
        <v>600.0</v>
      </c>
      <c r="G20" s="184">
        <f t="shared" si="4"/>
        <v>1.195</v>
      </c>
      <c r="H20" s="58">
        <f t="shared" si="5"/>
        <v>0.5975</v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</row>
    <row r="21">
      <c r="A21" s="183"/>
      <c r="B21" s="183" t="s">
        <v>255</v>
      </c>
      <c r="C21" s="183">
        <v>10.0</v>
      </c>
      <c r="D21" s="183">
        <v>5.0</v>
      </c>
      <c r="E21" s="183">
        <v>6.9</v>
      </c>
      <c r="F21" s="183">
        <v>236.0</v>
      </c>
      <c r="G21" s="184">
        <f t="shared" si="4"/>
        <v>0.2923728814</v>
      </c>
      <c r="H21" s="58">
        <f t="shared" si="5"/>
        <v>0.1461864407</v>
      </c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</row>
    <row r="22">
      <c r="A22" s="183"/>
      <c r="B22" s="183" t="s">
        <v>487</v>
      </c>
      <c r="C22" s="183">
        <v>80.0</v>
      </c>
      <c r="D22" s="183">
        <v>40.0</v>
      </c>
      <c r="E22" s="183">
        <v>1.49</v>
      </c>
      <c r="F22" s="183">
        <v>1000.0</v>
      </c>
      <c r="G22" s="184">
        <f t="shared" si="4"/>
        <v>0.1192</v>
      </c>
      <c r="H22" s="58">
        <f t="shared" si="5"/>
        <v>0.0596</v>
      </c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</row>
    <row r="23">
      <c r="A23" s="183"/>
      <c r="B23" s="183" t="s">
        <v>456</v>
      </c>
      <c r="C23" s="183">
        <v>30.0</v>
      </c>
      <c r="D23" s="183">
        <v>15.0</v>
      </c>
      <c r="E23" s="183">
        <v>5.0</v>
      </c>
      <c r="F23" s="183">
        <v>250.0</v>
      </c>
      <c r="G23" s="184">
        <f t="shared" si="4"/>
        <v>0.6</v>
      </c>
      <c r="H23" s="58">
        <f t="shared" si="5"/>
        <v>0.3</v>
      </c>
      <c r="I23" s="93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</row>
    <row r="24">
      <c r="A24" s="93"/>
      <c r="B24" s="93"/>
      <c r="C24" s="79"/>
      <c r="D24" s="79"/>
      <c r="E24" s="79"/>
      <c r="F24" s="79"/>
      <c r="G24" s="274">
        <f t="shared" ref="G24:H24" si="6">SUM(G19:G23)</f>
        <v>3.206572881</v>
      </c>
      <c r="H24" s="275">
        <f t="shared" si="6"/>
        <v>1.603286441</v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278" t="s">
        <v>488</v>
      </c>
      <c r="B25" s="276"/>
      <c r="C25" s="276"/>
      <c r="D25" s="276"/>
      <c r="E25" s="276"/>
      <c r="F25" s="276"/>
      <c r="G25" s="276"/>
      <c r="H25" s="276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93"/>
      <c r="B26" s="183" t="s">
        <v>309</v>
      </c>
      <c r="C26" s="183">
        <v>200.0</v>
      </c>
      <c r="D26" s="183">
        <v>100.0</v>
      </c>
      <c r="E26" s="183">
        <v>2.39</v>
      </c>
      <c r="F26" s="183">
        <v>600.0</v>
      </c>
      <c r="G26" s="184">
        <f t="shared" ref="G26:G28" si="7">(C26*E26/F26)</f>
        <v>0.7966666667</v>
      </c>
      <c r="H26" s="184">
        <f t="shared" ref="H26:H28" si="8">SUM(D26*E26/F26)</f>
        <v>0.3983333333</v>
      </c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</row>
    <row r="27">
      <c r="A27" s="93"/>
      <c r="B27" s="183" t="s">
        <v>489</v>
      </c>
      <c r="C27" s="183">
        <v>300.0</v>
      </c>
      <c r="D27" s="183">
        <v>150.0</v>
      </c>
      <c r="E27" s="183">
        <v>1.15</v>
      </c>
      <c r="F27" s="183">
        <v>100.0</v>
      </c>
      <c r="G27" s="184">
        <f t="shared" si="7"/>
        <v>3.45</v>
      </c>
      <c r="H27" s="184">
        <f t="shared" si="8"/>
        <v>1.725</v>
      </c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</row>
    <row r="28">
      <c r="A28" s="79"/>
      <c r="B28" s="183" t="s">
        <v>490</v>
      </c>
      <c r="C28" s="183">
        <v>10.0</v>
      </c>
      <c r="D28" s="183">
        <v>5.0</v>
      </c>
      <c r="E28" s="183">
        <v>2.34</v>
      </c>
      <c r="F28" s="183">
        <v>25.0</v>
      </c>
      <c r="G28" s="184">
        <f t="shared" si="7"/>
        <v>0.936</v>
      </c>
      <c r="H28" s="184">
        <f t="shared" si="8"/>
        <v>0.468</v>
      </c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</row>
    <row r="29">
      <c r="A29" s="79"/>
      <c r="B29" s="184"/>
      <c r="C29" s="184"/>
      <c r="D29" s="184"/>
      <c r="E29" s="184"/>
      <c r="F29" s="184"/>
      <c r="G29" s="279">
        <f t="shared" ref="G29:H29" si="9">SUM(G26:G27)</f>
        <v>4.246666667</v>
      </c>
      <c r="H29" s="279">
        <f t="shared" si="9"/>
        <v>2.123333333</v>
      </c>
      <c r="I29" s="6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</row>
    <row r="30">
      <c r="A30" s="79"/>
      <c r="B30" s="79"/>
      <c r="C30" s="79"/>
      <c r="D30" s="79"/>
      <c r="E30" s="79"/>
      <c r="F30" s="79"/>
      <c r="G30" s="79"/>
      <c r="H30" s="6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</row>
    <row r="31">
      <c r="A31" s="235" t="s">
        <v>325</v>
      </c>
      <c r="B31" s="183" t="s">
        <v>491</v>
      </c>
      <c r="C31" s="183">
        <v>1.0</v>
      </c>
      <c r="D31" s="183">
        <v>1.0</v>
      </c>
      <c r="E31" s="183">
        <v>5.0</v>
      </c>
      <c r="F31" s="183">
        <v>1.0</v>
      </c>
      <c r="G31" s="184">
        <f t="shared" ref="G31:G35" si="10">(C31*E31/F31)</f>
        <v>5</v>
      </c>
      <c r="H31" s="184">
        <f t="shared" ref="H31:H35" si="11">SUM(D31*E31/(F31))</f>
        <v>5</v>
      </c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</row>
    <row r="32">
      <c r="A32" s="79"/>
      <c r="B32" s="183" t="s">
        <v>492</v>
      </c>
      <c r="C32" s="183">
        <v>24.0</v>
      </c>
      <c r="D32" s="183">
        <v>12.0</v>
      </c>
      <c r="E32" s="183">
        <v>7.0</v>
      </c>
      <c r="F32" s="183">
        <v>300.0</v>
      </c>
      <c r="G32" s="184">
        <f t="shared" si="10"/>
        <v>0.56</v>
      </c>
      <c r="H32" s="184">
        <f t="shared" si="11"/>
        <v>0.28</v>
      </c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</row>
    <row r="33">
      <c r="A33" s="79"/>
      <c r="B33" s="183" t="s">
        <v>493</v>
      </c>
      <c r="C33" s="183">
        <v>2.0</v>
      </c>
      <c r="D33" s="183">
        <v>1.0</v>
      </c>
      <c r="E33" s="183">
        <v>19.0</v>
      </c>
      <c r="F33" s="183">
        <v>16.0</v>
      </c>
      <c r="G33" s="184">
        <f t="shared" si="10"/>
        <v>2.375</v>
      </c>
      <c r="H33" s="184">
        <f t="shared" si="11"/>
        <v>1.1875</v>
      </c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</row>
    <row r="34">
      <c r="A34" s="79"/>
      <c r="B34" s="183" t="s">
        <v>494</v>
      </c>
      <c r="C34" s="183">
        <v>3.0</v>
      </c>
      <c r="D34" s="183">
        <v>2.0</v>
      </c>
      <c r="E34" s="183">
        <v>2.5</v>
      </c>
      <c r="F34" s="183">
        <v>100.0</v>
      </c>
      <c r="G34" s="184">
        <f t="shared" si="10"/>
        <v>0.075</v>
      </c>
      <c r="H34" s="184">
        <f t="shared" si="11"/>
        <v>0.05</v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</row>
    <row r="35">
      <c r="A35" s="79"/>
      <c r="B35" s="183" t="s">
        <v>495</v>
      </c>
      <c r="C35" s="183">
        <v>1.0</v>
      </c>
      <c r="D35" s="183">
        <v>1.0</v>
      </c>
      <c r="E35" s="183">
        <v>1.0</v>
      </c>
      <c r="F35" s="183">
        <v>1.0</v>
      </c>
      <c r="G35" s="184">
        <f t="shared" si="10"/>
        <v>1</v>
      </c>
      <c r="H35" s="184">
        <f t="shared" si="11"/>
        <v>1</v>
      </c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</row>
    <row r="36">
      <c r="A36" s="79"/>
      <c r="B36" s="184"/>
      <c r="C36" s="184"/>
      <c r="D36" s="184"/>
      <c r="E36" s="184"/>
      <c r="F36" s="184"/>
      <c r="G36" s="279">
        <f t="shared" ref="G36:H36" si="12">SUM(G31:G35)</f>
        <v>9.01</v>
      </c>
      <c r="H36" s="279">
        <f t="shared" si="12"/>
        <v>7.5175</v>
      </c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</row>
    <row r="39">
      <c r="A39" s="79"/>
      <c r="B39" s="79"/>
      <c r="C39" s="93" t="s">
        <v>496</v>
      </c>
      <c r="D39" s="93">
        <f>SUM(G17+G24+G36)</f>
        <v>15.40705141</v>
      </c>
      <c r="E39" s="79"/>
      <c r="F39" s="79"/>
      <c r="G39" s="93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</row>
    <row r="40">
      <c r="A40" s="79"/>
      <c r="B40" s="79"/>
      <c r="C40" s="93" t="s">
        <v>497</v>
      </c>
      <c r="D40" s="93">
        <f>SUM(H17+H24+H36)</f>
        <v>9.120786441</v>
      </c>
      <c r="E40" s="79"/>
      <c r="F40" s="79"/>
      <c r="G40" s="93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</row>
    <row r="41">
      <c r="A41" s="79"/>
      <c r="B41" s="79"/>
      <c r="C41" s="93" t="s">
        <v>498</v>
      </c>
      <c r="D41" s="79">
        <f>SUM(H17+H29+H36)</f>
        <v>9.640833333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</row>
    <row r="42">
      <c r="A42" s="79"/>
      <c r="B42" s="79"/>
      <c r="C42" s="93" t="s">
        <v>499</v>
      </c>
      <c r="D42" s="93">
        <f>SUM(G17+G29+G36)</f>
        <v>16.4471452</v>
      </c>
      <c r="E42" s="79"/>
      <c r="F42" s="93"/>
      <c r="G42" s="93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72"/>
      <c r="B1" s="280" t="s">
        <v>503</v>
      </c>
      <c r="C1" s="72"/>
      <c r="D1" s="72"/>
      <c r="E1" s="72"/>
      <c r="F1" s="72"/>
      <c r="G1" s="72"/>
    </row>
    <row r="2">
      <c r="A2" s="72"/>
      <c r="B2" s="72"/>
      <c r="C2" s="72"/>
      <c r="D2" s="72"/>
      <c r="E2" s="72"/>
      <c r="F2" s="72"/>
      <c r="G2" s="72"/>
    </row>
    <row r="3">
      <c r="A3" s="281" t="s">
        <v>504</v>
      </c>
      <c r="B3" s="282"/>
      <c r="C3" s="282"/>
      <c r="D3" s="282"/>
      <c r="E3" s="282"/>
      <c r="F3" s="282"/>
      <c r="G3" s="282"/>
    </row>
    <row r="4">
      <c r="A4" s="34" t="s">
        <v>193</v>
      </c>
      <c r="B4" s="35" t="s">
        <v>505</v>
      </c>
      <c r="C4" s="35" t="s">
        <v>506</v>
      </c>
      <c r="D4" s="34" t="s">
        <v>195</v>
      </c>
      <c r="E4" s="34" t="s">
        <v>8</v>
      </c>
      <c r="F4" s="35" t="s">
        <v>507</v>
      </c>
      <c r="G4" s="280" t="s">
        <v>340</v>
      </c>
      <c r="I4" s="4" t="s">
        <v>508</v>
      </c>
    </row>
    <row r="5">
      <c r="A5" s="36"/>
      <c r="B5" s="36"/>
      <c r="C5" s="36"/>
      <c r="D5" s="36"/>
      <c r="E5" s="36"/>
      <c r="F5" s="36"/>
      <c r="G5" s="60"/>
    </row>
    <row r="6">
      <c r="A6" s="38" t="s">
        <v>199</v>
      </c>
      <c r="B6" s="39">
        <v>100.0</v>
      </c>
      <c r="C6" s="39">
        <v>100.0</v>
      </c>
      <c r="D6" s="38">
        <v>1000.0</v>
      </c>
      <c r="E6" s="38">
        <v>2.56</v>
      </c>
      <c r="F6" s="38">
        <f t="shared" ref="F6:F12" si="1">B6*E6/D6</f>
        <v>0.256</v>
      </c>
      <c r="G6" s="38">
        <f t="shared" ref="G6:G12" si="2">C6*E6/D6</f>
        <v>0.256</v>
      </c>
      <c r="I6" s="4" t="s">
        <v>509</v>
      </c>
    </row>
    <row r="7">
      <c r="A7" s="38" t="s">
        <v>201</v>
      </c>
      <c r="B7" s="39">
        <v>80.0</v>
      </c>
      <c r="C7" s="39">
        <v>80.0</v>
      </c>
      <c r="D7" s="38">
        <v>1000.0</v>
      </c>
      <c r="E7" s="38">
        <v>5.0</v>
      </c>
      <c r="F7" s="38">
        <f t="shared" si="1"/>
        <v>0.4</v>
      </c>
      <c r="G7" s="38">
        <f t="shared" si="2"/>
        <v>0.4</v>
      </c>
    </row>
    <row r="8">
      <c r="A8" s="38" t="s">
        <v>203</v>
      </c>
      <c r="B8" s="39">
        <v>1.0</v>
      </c>
      <c r="C8" s="39">
        <v>1.0</v>
      </c>
      <c r="D8" s="38">
        <v>12.0</v>
      </c>
      <c r="E8" s="38">
        <v>2.5</v>
      </c>
      <c r="F8" s="38">
        <f t="shared" si="1"/>
        <v>0.2083333333</v>
      </c>
      <c r="G8" s="38">
        <f t="shared" si="2"/>
        <v>0.2083333333</v>
      </c>
      <c r="K8" s="4" t="s">
        <v>238</v>
      </c>
    </row>
    <row r="9">
      <c r="A9" s="38" t="s">
        <v>205</v>
      </c>
      <c r="B9" s="39">
        <v>180.0</v>
      </c>
      <c r="C9" s="39">
        <v>180.0</v>
      </c>
      <c r="D9" s="38">
        <v>1000.0</v>
      </c>
      <c r="E9" s="38">
        <v>1.46</v>
      </c>
      <c r="F9" s="38">
        <f t="shared" si="1"/>
        <v>0.2628</v>
      </c>
      <c r="G9" s="38">
        <f t="shared" si="2"/>
        <v>0.2628</v>
      </c>
      <c r="I9" s="283" t="s">
        <v>362</v>
      </c>
      <c r="J9" s="284">
        <f>SUM(G13+G25+F36+G45+G55)</f>
        <v>8.770018531</v>
      </c>
      <c r="K9" s="283">
        <v>20.0</v>
      </c>
    </row>
    <row r="10">
      <c r="A10" s="38" t="s">
        <v>207</v>
      </c>
      <c r="B10" s="39">
        <v>5.0</v>
      </c>
      <c r="C10" s="39">
        <v>5.0</v>
      </c>
      <c r="D10" s="38">
        <v>200.0</v>
      </c>
      <c r="E10" s="38">
        <v>6.9</v>
      </c>
      <c r="F10" s="38">
        <f t="shared" si="1"/>
        <v>0.1725</v>
      </c>
      <c r="G10" s="38">
        <f t="shared" si="2"/>
        <v>0.1725</v>
      </c>
      <c r="I10" s="283" t="s">
        <v>510</v>
      </c>
      <c r="J10" s="284">
        <f>SUM(F13+F25+F36+F45+F55)</f>
        <v>8.242385198</v>
      </c>
      <c r="K10" s="283">
        <v>22.0</v>
      </c>
    </row>
    <row r="11">
      <c r="A11" s="38" t="s">
        <v>209</v>
      </c>
      <c r="B11" s="39">
        <v>100.0</v>
      </c>
      <c r="C11" s="39">
        <v>100.0</v>
      </c>
      <c r="D11" s="38">
        <v>1000.0</v>
      </c>
      <c r="E11" s="39">
        <v>2.6</v>
      </c>
      <c r="F11" s="38">
        <f t="shared" si="1"/>
        <v>0.26</v>
      </c>
      <c r="G11" s="38">
        <f t="shared" si="2"/>
        <v>0.26</v>
      </c>
    </row>
    <row r="12">
      <c r="A12" s="39" t="s">
        <v>274</v>
      </c>
      <c r="B12" s="39">
        <v>0.0</v>
      </c>
      <c r="C12" s="39">
        <v>0.0</v>
      </c>
      <c r="D12" s="39">
        <v>450.0</v>
      </c>
      <c r="E12" s="39">
        <v>4.99</v>
      </c>
      <c r="F12" s="38">
        <f t="shared" si="1"/>
        <v>0</v>
      </c>
      <c r="G12" s="38">
        <f t="shared" si="2"/>
        <v>0</v>
      </c>
    </row>
    <row r="13">
      <c r="A13" s="77"/>
      <c r="B13" s="77"/>
      <c r="C13" s="77"/>
      <c r="D13" s="77"/>
      <c r="E13" s="77"/>
      <c r="F13" s="285">
        <f t="shared" ref="F13:G13" si="3">SUM(F6:F12)</f>
        <v>1.559633333</v>
      </c>
      <c r="G13" s="286">
        <f t="shared" si="3"/>
        <v>1.559633333</v>
      </c>
    </row>
    <row r="15">
      <c r="A15" s="287" t="s">
        <v>511</v>
      </c>
      <c r="B15" s="288"/>
      <c r="C15" s="288"/>
      <c r="D15" s="288"/>
      <c r="E15" s="288"/>
      <c r="F15" s="288"/>
      <c r="G15" s="288"/>
    </row>
    <row r="16">
      <c r="A16" s="34" t="s">
        <v>193</v>
      </c>
      <c r="B16" s="34" t="s">
        <v>194</v>
      </c>
      <c r="C16" s="34"/>
      <c r="D16" s="34" t="s">
        <v>195</v>
      </c>
      <c r="E16" s="34" t="s">
        <v>8</v>
      </c>
      <c r="F16" s="35" t="s">
        <v>512</v>
      </c>
      <c r="G16" s="280" t="s">
        <v>513</v>
      </c>
    </row>
    <row r="17">
      <c r="A17" s="36"/>
      <c r="B17" s="36"/>
      <c r="C17" s="36"/>
      <c r="D17" s="36"/>
      <c r="E17" s="36"/>
      <c r="F17" s="36"/>
      <c r="G17" s="60"/>
    </row>
    <row r="18">
      <c r="A18" s="39" t="s">
        <v>514</v>
      </c>
      <c r="B18" s="39">
        <v>4.0</v>
      </c>
      <c r="C18" s="39">
        <v>2.0</v>
      </c>
      <c r="D18" s="39">
        <v>12.0</v>
      </c>
      <c r="E18" s="38">
        <v>2.56</v>
      </c>
      <c r="F18" s="38">
        <f t="shared" ref="F18:F24" si="4">B18*E18/D18</f>
        <v>0.8533333333</v>
      </c>
      <c r="G18" s="45">
        <f t="shared" ref="G18:G24" si="5">C18*E18/D18</f>
        <v>0.4266666667</v>
      </c>
    </row>
    <row r="19">
      <c r="A19" s="39" t="s">
        <v>515</v>
      </c>
      <c r="B19" s="39">
        <v>500.0</v>
      </c>
      <c r="C19" s="39">
        <v>250.0</v>
      </c>
      <c r="D19" s="38">
        <v>1000.0</v>
      </c>
      <c r="E19" s="39">
        <v>1.0</v>
      </c>
      <c r="F19" s="38">
        <f t="shared" si="4"/>
        <v>0.5</v>
      </c>
      <c r="G19" s="45">
        <f t="shared" si="5"/>
        <v>0.25</v>
      </c>
    </row>
    <row r="20">
      <c r="A20" s="39" t="s">
        <v>304</v>
      </c>
      <c r="B20" s="39">
        <v>120.0</v>
      </c>
      <c r="C20" s="39">
        <v>60.0</v>
      </c>
      <c r="D20" s="39">
        <v>1000.0</v>
      </c>
      <c r="E20" s="39">
        <v>1.49</v>
      </c>
      <c r="F20" s="38">
        <f t="shared" si="4"/>
        <v>0.1788</v>
      </c>
      <c r="G20" s="45">
        <f t="shared" si="5"/>
        <v>0.0894</v>
      </c>
    </row>
    <row r="21">
      <c r="A21" s="39" t="s">
        <v>244</v>
      </c>
      <c r="B21" s="39">
        <v>50.0</v>
      </c>
      <c r="C21" s="39">
        <v>35.0</v>
      </c>
      <c r="D21" s="38">
        <v>1000.0</v>
      </c>
      <c r="E21" s="39">
        <v>3.0</v>
      </c>
      <c r="F21" s="38">
        <f t="shared" si="4"/>
        <v>0.15</v>
      </c>
      <c r="G21" s="45">
        <f t="shared" si="5"/>
        <v>0.105</v>
      </c>
    </row>
    <row r="22">
      <c r="A22" s="39" t="s">
        <v>516</v>
      </c>
      <c r="B22" s="39">
        <v>100.0</v>
      </c>
      <c r="C22" s="39">
        <v>70.0</v>
      </c>
      <c r="D22" s="39">
        <v>100.0</v>
      </c>
      <c r="E22" s="39">
        <v>2.0</v>
      </c>
      <c r="F22" s="38">
        <f t="shared" si="4"/>
        <v>2</v>
      </c>
      <c r="G22" s="45">
        <f t="shared" si="5"/>
        <v>1.4</v>
      </c>
    </row>
    <row r="23">
      <c r="A23" s="39" t="s">
        <v>517</v>
      </c>
      <c r="B23" s="39">
        <v>50.0</v>
      </c>
      <c r="C23" s="39">
        <v>30.0</v>
      </c>
      <c r="D23" s="39">
        <v>250.0</v>
      </c>
      <c r="E23" s="39">
        <v>2.56</v>
      </c>
      <c r="F23" s="38">
        <f t="shared" si="4"/>
        <v>0.512</v>
      </c>
      <c r="G23" s="45">
        <f t="shared" si="5"/>
        <v>0.3072</v>
      </c>
    </row>
    <row r="24">
      <c r="A24" s="39" t="s">
        <v>518</v>
      </c>
      <c r="B24" s="39">
        <v>3.0</v>
      </c>
      <c r="C24" s="39">
        <v>3.0</v>
      </c>
      <c r="D24" s="39">
        <v>236.0</v>
      </c>
      <c r="E24" s="39">
        <v>6.9</v>
      </c>
      <c r="F24" s="38">
        <f t="shared" si="4"/>
        <v>0.08771186441</v>
      </c>
      <c r="G24" s="45">
        <f t="shared" si="5"/>
        <v>0.08771186441</v>
      </c>
    </row>
    <row r="25">
      <c r="A25" s="77"/>
      <c r="B25" s="77"/>
      <c r="C25" s="77"/>
      <c r="D25" s="77"/>
      <c r="E25" s="77"/>
      <c r="F25" s="289">
        <f t="shared" ref="F25:G25" si="6">SUM(F18:F24)</f>
        <v>4.281845198</v>
      </c>
      <c r="G25" s="290">
        <f t="shared" si="6"/>
        <v>2.665978531</v>
      </c>
    </row>
    <row r="27">
      <c r="A27" s="190" t="s">
        <v>519</v>
      </c>
      <c r="B27" s="191"/>
      <c r="C27" s="191"/>
      <c r="D27" s="191"/>
      <c r="E27" s="191"/>
      <c r="F27" s="191"/>
      <c r="G27" s="191"/>
    </row>
    <row r="28">
      <c r="A28" s="34" t="s">
        <v>193</v>
      </c>
      <c r="B28" s="34" t="s">
        <v>194</v>
      </c>
      <c r="C28" s="34"/>
      <c r="D28" s="34" t="s">
        <v>195</v>
      </c>
      <c r="E28" s="34" t="s">
        <v>8</v>
      </c>
      <c r="F28" s="34" t="s">
        <v>197</v>
      </c>
      <c r="G28" s="72"/>
    </row>
    <row r="29">
      <c r="A29" s="39" t="s">
        <v>321</v>
      </c>
      <c r="B29" s="39">
        <v>3.0</v>
      </c>
      <c r="C29" s="39"/>
      <c r="D29" s="39">
        <v>12.0</v>
      </c>
      <c r="E29" s="38">
        <v>2.56</v>
      </c>
      <c r="F29" s="38">
        <f t="shared" ref="F29:F35" si="7">B29*E29/D29</f>
        <v>0.64</v>
      </c>
      <c r="G29" s="45"/>
    </row>
    <row r="30">
      <c r="A30" s="39" t="s">
        <v>487</v>
      </c>
      <c r="B30" s="39">
        <v>240.0</v>
      </c>
      <c r="C30" s="39"/>
      <c r="D30" s="38">
        <v>1000.0</v>
      </c>
      <c r="E30" s="39">
        <v>1.49</v>
      </c>
      <c r="F30" s="38">
        <f t="shared" si="7"/>
        <v>0.3576</v>
      </c>
      <c r="G30" s="45"/>
    </row>
    <row r="31">
      <c r="A31" s="39" t="s">
        <v>314</v>
      </c>
      <c r="B31" s="39">
        <v>60.0</v>
      </c>
      <c r="C31" s="39"/>
      <c r="D31" s="39">
        <v>1000.0</v>
      </c>
      <c r="E31" s="39">
        <v>1.0</v>
      </c>
      <c r="F31" s="38">
        <f t="shared" si="7"/>
        <v>0.06</v>
      </c>
      <c r="G31" s="45"/>
    </row>
    <row r="32">
      <c r="A32" s="39"/>
      <c r="B32" s="39">
        <v>0.0</v>
      </c>
      <c r="C32" s="39"/>
      <c r="D32" s="38">
        <v>1000.0</v>
      </c>
      <c r="E32" s="39">
        <v>3.0</v>
      </c>
      <c r="F32" s="38">
        <f t="shared" si="7"/>
        <v>0</v>
      </c>
      <c r="G32" s="45"/>
    </row>
    <row r="33">
      <c r="A33" s="39"/>
      <c r="B33" s="39">
        <v>0.0</v>
      </c>
      <c r="C33" s="39"/>
      <c r="D33" s="39">
        <v>100.0</v>
      </c>
      <c r="E33" s="39">
        <v>2.0</v>
      </c>
      <c r="F33" s="38">
        <f t="shared" si="7"/>
        <v>0</v>
      </c>
      <c r="G33" s="45"/>
    </row>
    <row r="34">
      <c r="A34" s="39"/>
      <c r="B34" s="39">
        <v>0.0</v>
      </c>
      <c r="C34" s="39"/>
      <c r="D34" s="39">
        <v>250.0</v>
      </c>
      <c r="E34" s="39">
        <v>2.56</v>
      </c>
      <c r="F34" s="38">
        <f t="shared" si="7"/>
        <v>0</v>
      </c>
      <c r="G34" s="45"/>
    </row>
    <row r="35">
      <c r="A35" s="39"/>
      <c r="B35" s="39">
        <v>0.0</v>
      </c>
      <c r="C35" s="39"/>
      <c r="D35" s="39">
        <v>236.0</v>
      </c>
      <c r="E35" s="39">
        <v>6.9</v>
      </c>
      <c r="F35" s="38">
        <f t="shared" si="7"/>
        <v>0</v>
      </c>
      <c r="G35" s="45"/>
    </row>
    <row r="36">
      <c r="A36" s="77"/>
      <c r="B36" s="77"/>
      <c r="C36" s="77"/>
      <c r="D36" s="77"/>
      <c r="E36" s="77"/>
      <c r="F36" s="75">
        <f>SUM(F29:F35)</f>
        <v>1.0576</v>
      </c>
      <c r="G36" s="42"/>
    </row>
    <row r="37">
      <c r="A37" s="287" t="s">
        <v>261</v>
      </c>
      <c r="B37" s="288"/>
      <c r="C37" s="288"/>
      <c r="D37" s="288"/>
      <c r="E37" s="288"/>
      <c r="F37" s="288"/>
      <c r="G37" s="288"/>
    </row>
    <row r="38">
      <c r="A38" s="34" t="s">
        <v>193</v>
      </c>
      <c r="B38" s="34" t="s">
        <v>194</v>
      </c>
      <c r="C38" s="34"/>
      <c r="D38" s="34" t="s">
        <v>195</v>
      </c>
      <c r="E38" s="34" t="s">
        <v>8</v>
      </c>
      <c r="F38" s="34" t="s">
        <v>197</v>
      </c>
      <c r="G38" s="280" t="s">
        <v>340</v>
      </c>
    </row>
    <row r="39">
      <c r="A39" s="40" t="s">
        <v>200</v>
      </c>
      <c r="B39" s="39">
        <v>1.0</v>
      </c>
      <c r="C39" s="39">
        <v>1.0</v>
      </c>
      <c r="D39" s="40">
        <v>20.0</v>
      </c>
      <c r="E39" s="40">
        <v>1.13</v>
      </c>
      <c r="F39" s="38">
        <f t="shared" ref="F39:F44" si="8">B39*E39/D39</f>
        <v>0.0565</v>
      </c>
      <c r="G39" s="45">
        <f t="shared" ref="G39:G44" si="9">C39*E39/D39</f>
        <v>0.0565</v>
      </c>
    </row>
    <row r="40">
      <c r="A40" s="40" t="s">
        <v>202</v>
      </c>
      <c r="B40" s="39">
        <v>1.0</v>
      </c>
      <c r="C40" s="39">
        <v>1.0</v>
      </c>
      <c r="D40" s="40">
        <v>100.0</v>
      </c>
      <c r="E40" s="40">
        <v>10.0</v>
      </c>
      <c r="F40" s="38">
        <f t="shared" si="8"/>
        <v>0.1</v>
      </c>
      <c r="G40" s="45">
        <f t="shared" si="9"/>
        <v>0.1</v>
      </c>
    </row>
    <row r="41">
      <c r="A41" s="40" t="s">
        <v>204</v>
      </c>
      <c r="B41" s="39">
        <v>30.0</v>
      </c>
      <c r="C41" s="39">
        <v>30.0</v>
      </c>
      <c r="D41" s="40">
        <v>60.0</v>
      </c>
      <c r="E41" s="40">
        <v>1.0</v>
      </c>
      <c r="F41" s="38">
        <f t="shared" si="8"/>
        <v>0.5</v>
      </c>
      <c r="G41" s="45">
        <f t="shared" si="9"/>
        <v>0.5</v>
      </c>
    </row>
    <row r="42">
      <c r="A42" s="40" t="s">
        <v>206</v>
      </c>
      <c r="B42" s="39">
        <v>12.0</v>
      </c>
      <c r="C42" s="39">
        <v>12.0</v>
      </c>
      <c r="D42" s="40">
        <v>1000.0</v>
      </c>
      <c r="E42" s="40">
        <v>1.97</v>
      </c>
      <c r="F42" s="38">
        <f t="shared" si="8"/>
        <v>0.02364</v>
      </c>
      <c r="G42" s="45">
        <f t="shared" si="9"/>
        <v>0.02364</v>
      </c>
    </row>
    <row r="43">
      <c r="A43" s="40" t="s">
        <v>208</v>
      </c>
      <c r="B43" s="39">
        <v>15.0</v>
      </c>
      <c r="C43" s="39">
        <v>15.0</v>
      </c>
      <c r="D43" s="40">
        <v>60.0</v>
      </c>
      <c r="E43" s="40">
        <v>1.0</v>
      </c>
      <c r="F43" s="38">
        <f t="shared" si="8"/>
        <v>0.25</v>
      </c>
      <c r="G43" s="45">
        <f t="shared" si="9"/>
        <v>0.25</v>
      </c>
    </row>
    <row r="44">
      <c r="A44" s="40" t="s">
        <v>210</v>
      </c>
      <c r="B44" s="39">
        <v>2.0</v>
      </c>
      <c r="C44" s="39">
        <v>2.0</v>
      </c>
      <c r="D44" s="40">
        <v>20.0</v>
      </c>
      <c r="E44" s="40">
        <v>3.0</v>
      </c>
      <c r="F44" s="38">
        <f t="shared" si="8"/>
        <v>0.3</v>
      </c>
      <c r="G44" s="45">
        <f t="shared" si="9"/>
        <v>0.3</v>
      </c>
    </row>
    <row r="45">
      <c r="A45" s="41"/>
      <c r="B45" s="41"/>
      <c r="C45" s="41"/>
      <c r="D45" s="41"/>
      <c r="E45" s="41"/>
      <c r="F45" s="75">
        <f t="shared" ref="F45:G45" si="10">SUM(F39:F44)</f>
        <v>1.23014</v>
      </c>
      <c r="G45" s="42">
        <f t="shared" si="10"/>
        <v>1.23014</v>
      </c>
    </row>
    <row r="46">
      <c r="A46" s="287" t="s">
        <v>411</v>
      </c>
      <c r="B46" s="288"/>
      <c r="C46" s="288"/>
      <c r="D46" s="288"/>
      <c r="E46" s="288"/>
      <c r="F46" s="288"/>
      <c r="G46" s="288"/>
    </row>
    <row r="47">
      <c r="A47" s="34" t="s">
        <v>193</v>
      </c>
      <c r="B47" s="34" t="s">
        <v>194</v>
      </c>
      <c r="C47" s="34"/>
      <c r="D47" s="34" t="s">
        <v>195</v>
      </c>
      <c r="E47" s="34" t="s">
        <v>8</v>
      </c>
      <c r="F47" s="35" t="s">
        <v>507</v>
      </c>
      <c r="G47" s="280" t="s">
        <v>340</v>
      </c>
    </row>
    <row r="48">
      <c r="A48" s="37" t="s">
        <v>520</v>
      </c>
      <c r="B48" s="37">
        <v>0.0</v>
      </c>
      <c r="C48" s="37">
        <v>1.0</v>
      </c>
      <c r="D48" s="37">
        <v>1.0</v>
      </c>
      <c r="E48" s="37">
        <v>2.2</v>
      </c>
      <c r="F48" s="38">
        <f t="shared" ref="F48:F54" si="11">B48*E48/D48</f>
        <v>0</v>
      </c>
      <c r="G48" s="45">
        <f t="shared" ref="G48:G54" si="12">C48*E48/D48</f>
        <v>2.2</v>
      </c>
    </row>
    <row r="49">
      <c r="A49" s="40" t="s">
        <v>521</v>
      </c>
      <c r="B49" s="39">
        <v>1.0</v>
      </c>
      <c r="C49" s="39">
        <v>0.0</v>
      </c>
      <c r="D49" s="40">
        <v>20.0</v>
      </c>
      <c r="E49" s="40">
        <v>1.13</v>
      </c>
      <c r="F49" s="38">
        <f t="shared" si="11"/>
        <v>0.0565</v>
      </c>
      <c r="G49" s="45">
        <f t="shared" si="12"/>
        <v>0</v>
      </c>
    </row>
    <row r="50">
      <c r="A50" s="40" t="s">
        <v>522</v>
      </c>
      <c r="B50" s="39">
        <v>0.0</v>
      </c>
      <c r="C50" s="39">
        <v>0.0</v>
      </c>
      <c r="D50" s="40">
        <v>100.0</v>
      </c>
      <c r="E50" s="40">
        <v>10.0</v>
      </c>
      <c r="F50" s="38">
        <f t="shared" si="11"/>
        <v>0</v>
      </c>
      <c r="G50" s="45">
        <f t="shared" si="12"/>
        <v>0</v>
      </c>
    </row>
    <row r="51">
      <c r="A51" s="40" t="s">
        <v>269</v>
      </c>
      <c r="B51" s="39">
        <v>1.0</v>
      </c>
      <c r="C51" s="39">
        <v>1.0</v>
      </c>
      <c r="D51" s="40">
        <v>60.0</v>
      </c>
      <c r="E51" s="40">
        <v>1.0</v>
      </c>
      <c r="F51" s="38">
        <f t="shared" si="11"/>
        <v>0.01666666667</v>
      </c>
      <c r="G51" s="45">
        <f t="shared" si="12"/>
        <v>0.01666666667</v>
      </c>
    </row>
    <row r="52">
      <c r="A52" s="40" t="s">
        <v>494</v>
      </c>
      <c r="B52" s="39">
        <v>2.0</v>
      </c>
      <c r="C52" s="39">
        <v>2.0</v>
      </c>
      <c r="D52" s="40">
        <v>100.0</v>
      </c>
      <c r="E52" s="40">
        <v>2.0</v>
      </c>
      <c r="F52" s="38">
        <f t="shared" si="11"/>
        <v>0.04</v>
      </c>
      <c r="G52" s="45">
        <f t="shared" si="12"/>
        <v>0.04</v>
      </c>
    </row>
    <row r="53">
      <c r="A53" s="40"/>
      <c r="B53" s="39">
        <v>0.0</v>
      </c>
      <c r="C53" s="39"/>
      <c r="D53" s="40">
        <v>60.0</v>
      </c>
      <c r="E53" s="40">
        <v>1.0</v>
      </c>
      <c r="F53" s="38">
        <f t="shared" si="11"/>
        <v>0</v>
      </c>
      <c r="G53" s="45">
        <f t="shared" si="12"/>
        <v>0</v>
      </c>
    </row>
    <row r="54">
      <c r="A54" s="40"/>
      <c r="B54" s="39"/>
      <c r="C54" s="39"/>
      <c r="D54" s="40">
        <v>1.0</v>
      </c>
      <c r="E54" s="40">
        <v>10.0</v>
      </c>
      <c r="F54" s="38">
        <f t="shared" si="11"/>
        <v>0</v>
      </c>
      <c r="G54" s="45">
        <f t="shared" si="12"/>
        <v>0</v>
      </c>
    </row>
    <row r="55">
      <c r="A55" s="41"/>
      <c r="B55" s="41"/>
      <c r="C55" s="41"/>
      <c r="D55" s="41"/>
      <c r="E55" s="41"/>
      <c r="F55" s="75">
        <f t="shared" ref="F55:G55" si="13">SUM(F48:F54)</f>
        <v>0.1131666667</v>
      </c>
      <c r="G55" s="42">
        <f t="shared" si="13"/>
        <v>2.256666667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6" max="6" width="13.63"/>
  </cols>
  <sheetData>
    <row r="1">
      <c r="B1" s="4" t="s">
        <v>523</v>
      </c>
      <c r="E1" s="4" t="s">
        <v>524</v>
      </c>
    </row>
    <row r="3">
      <c r="A3" s="34" t="s">
        <v>193</v>
      </c>
      <c r="B3" s="34" t="s">
        <v>194</v>
      </c>
      <c r="C3" s="34" t="s">
        <v>195</v>
      </c>
      <c r="D3" s="34" t="s">
        <v>8</v>
      </c>
      <c r="E3" s="34" t="s">
        <v>197</v>
      </c>
      <c r="G3" s="34" t="s">
        <v>193</v>
      </c>
      <c r="H3" s="34" t="s">
        <v>194</v>
      </c>
      <c r="I3" s="34" t="s">
        <v>195</v>
      </c>
      <c r="J3" s="34" t="s">
        <v>8</v>
      </c>
      <c r="K3" s="34" t="s">
        <v>197</v>
      </c>
    </row>
    <row r="4">
      <c r="A4" s="36"/>
      <c r="B4" s="36"/>
      <c r="C4" s="36"/>
      <c r="D4" s="36"/>
      <c r="E4" s="36"/>
      <c r="G4" s="37" t="s">
        <v>198</v>
      </c>
      <c r="H4" s="37">
        <v>1.0</v>
      </c>
      <c r="I4" s="37">
        <v>1.0</v>
      </c>
      <c r="J4" s="37">
        <v>2.2</v>
      </c>
      <c r="K4" s="38">
        <f t="shared" ref="K4:K10" si="1">H4*J4/I4</f>
        <v>2.2</v>
      </c>
    </row>
    <row r="5">
      <c r="A5" s="39" t="s">
        <v>525</v>
      </c>
      <c r="B5" s="39">
        <v>240.0</v>
      </c>
      <c r="C5" s="39">
        <v>735.0</v>
      </c>
      <c r="D5" s="39">
        <v>1.65</v>
      </c>
      <c r="E5" s="38">
        <f t="shared" ref="E5:E12" si="2">B5*D5/C5</f>
        <v>0.5387755102</v>
      </c>
      <c r="F5" s="4" t="s">
        <v>526</v>
      </c>
      <c r="G5" s="40" t="s">
        <v>200</v>
      </c>
      <c r="H5" s="39">
        <v>1.0</v>
      </c>
      <c r="I5" s="40">
        <v>20.0</v>
      </c>
      <c r="J5" s="40">
        <v>1.13</v>
      </c>
      <c r="K5" s="38">
        <f t="shared" si="1"/>
        <v>0.0565</v>
      </c>
    </row>
    <row r="6">
      <c r="A6" s="39" t="s">
        <v>436</v>
      </c>
      <c r="B6" s="39">
        <v>130.0</v>
      </c>
      <c r="C6" s="39">
        <v>250.0</v>
      </c>
      <c r="D6" s="39">
        <v>2.56</v>
      </c>
      <c r="E6" s="38">
        <f t="shared" si="2"/>
        <v>1.3312</v>
      </c>
      <c r="G6" s="40" t="s">
        <v>202</v>
      </c>
      <c r="H6" s="39">
        <v>1.0</v>
      </c>
      <c r="I6" s="40">
        <v>100.0</v>
      </c>
      <c r="J6" s="40">
        <v>10.0</v>
      </c>
      <c r="K6" s="38">
        <f t="shared" si="1"/>
        <v>0.1</v>
      </c>
    </row>
    <row r="7">
      <c r="A7" s="38" t="s">
        <v>203</v>
      </c>
      <c r="B7" s="39">
        <v>3.0</v>
      </c>
      <c r="C7" s="38">
        <v>12.0</v>
      </c>
      <c r="D7" s="38">
        <v>2.5</v>
      </c>
      <c r="E7" s="38">
        <f t="shared" si="2"/>
        <v>0.625</v>
      </c>
      <c r="F7" s="4" t="s">
        <v>527</v>
      </c>
      <c r="G7" s="40" t="s">
        <v>204</v>
      </c>
      <c r="H7" s="39">
        <v>30.0</v>
      </c>
      <c r="I7" s="40">
        <v>60.0</v>
      </c>
      <c r="J7" s="40">
        <v>1.0</v>
      </c>
      <c r="K7" s="38">
        <f t="shared" si="1"/>
        <v>0.5</v>
      </c>
    </row>
    <row r="8">
      <c r="A8" s="39" t="s">
        <v>244</v>
      </c>
      <c r="B8" s="39">
        <v>10.0</v>
      </c>
      <c r="C8" s="39">
        <v>400.0</v>
      </c>
      <c r="D8" s="39">
        <v>2.99</v>
      </c>
      <c r="E8" s="38">
        <f t="shared" si="2"/>
        <v>0.07475</v>
      </c>
      <c r="G8" s="40" t="s">
        <v>206</v>
      </c>
      <c r="H8" s="39">
        <v>12.0</v>
      </c>
      <c r="I8" s="40">
        <v>1000.0</v>
      </c>
      <c r="J8" s="40">
        <v>1.97</v>
      </c>
      <c r="K8" s="38">
        <f t="shared" si="1"/>
        <v>0.02364</v>
      </c>
    </row>
    <row r="9">
      <c r="A9" s="38" t="s">
        <v>207</v>
      </c>
      <c r="B9" s="38">
        <v>10.0</v>
      </c>
      <c r="C9" s="39">
        <v>236.0</v>
      </c>
      <c r="D9" s="38">
        <v>6.9</v>
      </c>
      <c r="E9" s="38">
        <f t="shared" si="2"/>
        <v>0.2923728814</v>
      </c>
      <c r="G9" s="40" t="s">
        <v>208</v>
      </c>
      <c r="H9" s="39">
        <v>15.0</v>
      </c>
      <c r="I9" s="40">
        <v>60.0</v>
      </c>
      <c r="J9" s="40">
        <v>1.0</v>
      </c>
      <c r="K9" s="38">
        <f t="shared" si="1"/>
        <v>0.25</v>
      </c>
    </row>
    <row r="10">
      <c r="A10" s="38" t="s">
        <v>209</v>
      </c>
      <c r="B10" s="39">
        <v>80.0</v>
      </c>
      <c r="C10" s="39">
        <v>1000.0</v>
      </c>
      <c r="D10" s="39">
        <v>2.71</v>
      </c>
      <c r="E10" s="38">
        <f t="shared" si="2"/>
        <v>0.2168</v>
      </c>
      <c r="G10" s="40" t="s">
        <v>528</v>
      </c>
      <c r="H10" s="39"/>
      <c r="I10" s="40">
        <v>1.0</v>
      </c>
      <c r="J10" s="40">
        <v>10.0</v>
      </c>
      <c r="K10" s="38">
        <f t="shared" si="1"/>
        <v>0</v>
      </c>
    </row>
    <row r="11">
      <c r="A11" s="39" t="s">
        <v>529</v>
      </c>
      <c r="B11" s="39">
        <v>450.0</v>
      </c>
      <c r="C11" s="39">
        <v>450.0</v>
      </c>
      <c r="D11" s="39">
        <v>2.59</v>
      </c>
      <c r="E11" s="38">
        <f t="shared" si="2"/>
        <v>2.59</v>
      </c>
      <c r="G11" s="41"/>
      <c r="H11" s="41"/>
      <c r="I11" s="41"/>
      <c r="J11" s="41"/>
      <c r="K11" s="75">
        <f>SUM(K4:K10)</f>
        <v>3.13014</v>
      </c>
    </row>
    <row r="12">
      <c r="A12" s="78" t="s">
        <v>308</v>
      </c>
      <c r="B12" s="78">
        <v>200.0</v>
      </c>
      <c r="C12" s="78">
        <v>600.0</v>
      </c>
      <c r="D12" s="78">
        <v>2.36</v>
      </c>
      <c r="E12" s="38">
        <f t="shared" si="2"/>
        <v>0.7866666667</v>
      </c>
    </row>
    <row r="13">
      <c r="A13" s="77"/>
      <c r="B13" s="60"/>
      <c r="C13" s="77"/>
      <c r="D13" s="77"/>
      <c r="E13" s="38"/>
    </row>
    <row r="14">
      <c r="A14" s="77"/>
      <c r="B14" s="60"/>
      <c r="C14" s="77"/>
      <c r="D14" s="77"/>
      <c r="E14" s="61">
        <f>SUM(E5:E12)</f>
        <v>6.455565058</v>
      </c>
      <c r="G14" s="291" t="s">
        <v>530</v>
      </c>
      <c r="H14" s="292" t="s">
        <v>238</v>
      </c>
    </row>
    <row r="15">
      <c r="A15" s="77"/>
      <c r="B15" s="60"/>
      <c r="C15" s="77"/>
      <c r="D15" s="77"/>
      <c r="E15" s="45"/>
      <c r="G15" s="293"/>
      <c r="H15" s="294"/>
    </row>
    <row r="16">
      <c r="A16" s="77"/>
      <c r="B16" s="77"/>
      <c r="C16" s="77"/>
      <c r="D16" s="77"/>
      <c r="E16" s="45"/>
      <c r="F16" s="4" t="s">
        <v>420</v>
      </c>
      <c r="G16" s="293">
        <f>SUM(E14+E28+K11)</f>
        <v>15.48040506</v>
      </c>
      <c r="H16" s="292">
        <v>22.0</v>
      </c>
      <c r="I16" s="4">
        <f>H16-G16</f>
        <v>6.519594942</v>
      </c>
    </row>
    <row r="17">
      <c r="A17" s="35" t="s">
        <v>531</v>
      </c>
      <c r="B17" s="34" t="s">
        <v>194</v>
      </c>
      <c r="C17" s="34" t="s">
        <v>195</v>
      </c>
      <c r="D17" s="34" t="s">
        <v>8</v>
      </c>
      <c r="E17" s="34" t="s">
        <v>197</v>
      </c>
    </row>
    <row r="18">
      <c r="A18" s="36"/>
      <c r="B18" s="36"/>
      <c r="C18" s="36"/>
      <c r="D18" s="36"/>
      <c r="E18" s="36"/>
    </row>
    <row r="19">
      <c r="A19" s="39" t="s">
        <v>532</v>
      </c>
      <c r="B19" s="39">
        <v>1.0</v>
      </c>
      <c r="C19" s="39">
        <v>1.0</v>
      </c>
      <c r="D19" s="39">
        <v>2.2</v>
      </c>
      <c r="E19" s="38">
        <f t="shared" ref="E19:E26" si="3">B19*D19/C19</f>
        <v>2.2</v>
      </c>
    </row>
    <row r="20">
      <c r="A20" s="39" t="s">
        <v>533</v>
      </c>
      <c r="B20" s="39">
        <v>1.0</v>
      </c>
      <c r="C20" s="39">
        <v>1.0</v>
      </c>
      <c r="D20" s="39">
        <v>0.9</v>
      </c>
      <c r="E20" s="38">
        <f t="shared" si="3"/>
        <v>0.9</v>
      </c>
    </row>
    <row r="21">
      <c r="A21" s="39" t="s">
        <v>328</v>
      </c>
      <c r="B21" s="39">
        <v>1.0</v>
      </c>
      <c r="C21" s="39">
        <v>2.0</v>
      </c>
      <c r="D21" s="39">
        <v>0.18</v>
      </c>
      <c r="E21" s="38">
        <f t="shared" si="3"/>
        <v>0.09</v>
      </c>
    </row>
    <row r="22">
      <c r="A22" s="39" t="s">
        <v>322</v>
      </c>
      <c r="B22" s="39">
        <v>1.0</v>
      </c>
      <c r="C22" s="39">
        <v>1.0</v>
      </c>
      <c r="D22" s="39">
        <v>1.75</v>
      </c>
      <c r="E22" s="38">
        <f t="shared" si="3"/>
        <v>1.75</v>
      </c>
    </row>
    <row r="23">
      <c r="A23" s="39" t="s">
        <v>323</v>
      </c>
      <c r="B23" s="39">
        <v>1.0</v>
      </c>
      <c r="C23" s="39">
        <v>12.0</v>
      </c>
      <c r="D23" s="39">
        <v>1.2</v>
      </c>
      <c r="E23" s="38">
        <f t="shared" si="3"/>
        <v>0.1</v>
      </c>
    </row>
    <row r="24">
      <c r="A24" s="39" t="s">
        <v>534</v>
      </c>
      <c r="B24" s="39">
        <v>2.0</v>
      </c>
      <c r="C24" s="39">
        <v>40.0</v>
      </c>
      <c r="D24" s="39">
        <v>6.7</v>
      </c>
      <c r="E24" s="38">
        <f t="shared" si="3"/>
        <v>0.335</v>
      </c>
    </row>
    <row r="25">
      <c r="A25" s="39" t="s">
        <v>535</v>
      </c>
      <c r="B25" s="39">
        <v>10.0</v>
      </c>
      <c r="C25" s="39">
        <v>1000.0</v>
      </c>
      <c r="D25" s="39">
        <v>1.97</v>
      </c>
      <c r="E25" s="38">
        <f t="shared" si="3"/>
        <v>0.0197</v>
      </c>
    </row>
    <row r="26">
      <c r="A26" s="78" t="s">
        <v>204</v>
      </c>
      <c r="B26" s="78">
        <v>30.0</v>
      </c>
      <c r="C26" s="78">
        <v>60.0</v>
      </c>
      <c r="D26" s="78">
        <v>1.0</v>
      </c>
      <c r="E26" s="38">
        <f t="shared" si="3"/>
        <v>0.5</v>
      </c>
    </row>
    <row r="27">
      <c r="A27" s="77"/>
      <c r="B27" s="60"/>
      <c r="C27" s="77"/>
      <c r="D27" s="77"/>
      <c r="E27" s="38"/>
    </row>
    <row r="28">
      <c r="A28" s="77"/>
      <c r="B28" s="60"/>
      <c r="C28" s="77"/>
      <c r="D28" s="77"/>
      <c r="E28" s="61">
        <f>SUM(E19:E26)</f>
        <v>5.8947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178</v>
      </c>
    </row>
    <row r="2">
      <c r="A2" s="4" t="s">
        <v>502</v>
      </c>
    </row>
    <row r="3">
      <c r="A3" s="34" t="s">
        <v>193</v>
      </c>
      <c r="B3" s="35" t="s">
        <v>536</v>
      </c>
      <c r="C3" s="34" t="s">
        <v>195</v>
      </c>
      <c r="D3" s="34" t="s">
        <v>8</v>
      </c>
      <c r="E3" s="34" t="s">
        <v>197</v>
      </c>
    </row>
    <row r="4">
      <c r="A4" s="36"/>
      <c r="B4" s="36"/>
      <c r="C4" s="36"/>
      <c r="D4" s="36"/>
      <c r="E4" s="36"/>
    </row>
    <row r="5">
      <c r="A5" s="38" t="s">
        <v>199</v>
      </c>
      <c r="B5" s="39">
        <v>125.0</v>
      </c>
      <c r="C5" s="38">
        <v>1000.0</v>
      </c>
      <c r="D5" s="38">
        <v>2.56</v>
      </c>
      <c r="E5" s="38">
        <f t="shared" ref="E5:E11" si="1">B5*D5/C5</f>
        <v>0.32</v>
      </c>
    </row>
    <row r="6">
      <c r="A6" s="38" t="s">
        <v>201</v>
      </c>
      <c r="B6" s="39">
        <v>130.0</v>
      </c>
      <c r="C6" s="38">
        <v>1000.0</v>
      </c>
      <c r="D6" s="38">
        <v>5.0</v>
      </c>
      <c r="E6" s="38">
        <f t="shared" si="1"/>
        <v>0.65</v>
      </c>
    </row>
    <row r="7">
      <c r="A7" s="38" t="s">
        <v>203</v>
      </c>
      <c r="B7" s="39">
        <v>2.0</v>
      </c>
      <c r="C7" s="38">
        <v>12.0</v>
      </c>
      <c r="D7" s="39">
        <v>1.5</v>
      </c>
      <c r="E7" s="38">
        <f t="shared" si="1"/>
        <v>0.25</v>
      </c>
      <c r="H7" s="193" t="s">
        <v>537</v>
      </c>
      <c r="I7" s="193" t="s">
        <v>238</v>
      </c>
      <c r="J7" s="193" t="s">
        <v>239</v>
      </c>
    </row>
    <row r="8">
      <c r="A8" s="38" t="s">
        <v>205</v>
      </c>
      <c r="B8" s="39">
        <v>50.0</v>
      </c>
      <c r="C8" s="38">
        <v>1000.0</v>
      </c>
      <c r="D8" s="38">
        <v>1.46</v>
      </c>
      <c r="E8" s="38">
        <f t="shared" si="1"/>
        <v>0.073</v>
      </c>
      <c r="H8" s="192">
        <f>SUM(E12+E25)</f>
        <v>10.15447778</v>
      </c>
      <c r="I8" s="193">
        <v>20.0</v>
      </c>
      <c r="J8" s="192">
        <f>SUM(I8-H8)</f>
        <v>9.845522222</v>
      </c>
    </row>
    <row r="9">
      <c r="A9" s="38" t="s">
        <v>207</v>
      </c>
      <c r="B9" s="38">
        <v>10.0</v>
      </c>
      <c r="C9" s="38">
        <v>200.0</v>
      </c>
      <c r="D9" s="38">
        <v>6.9</v>
      </c>
      <c r="E9" s="38">
        <f t="shared" si="1"/>
        <v>0.345</v>
      </c>
    </row>
    <row r="10">
      <c r="A10" s="39" t="s">
        <v>538</v>
      </c>
      <c r="B10" s="39">
        <v>200.0</v>
      </c>
      <c r="C10" s="39">
        <v>100.0</v>
      </c>
      <c r="D10" s="39">
        <v>1.2</v>
      </c>
      <c r="E10" s="38">
        <f t="shared" si="1"/>
        <v>2.4</v>
      </c>
    </row>
    <row r="11">
      <c r="A11" s="39" t="s">
        <v>274</v>
      </c>
      <c r="B11" s="39">
        <v>20.0</v>
      </c>
      <c r="C11" s="39">
        <v>450.0</v>
      </c>
      <c r="D11" s="39">
        <v>4.99</v>
      </c>
      <c r="E11" s="38">
        <f t="shared" si="1"/>
        <v>0.2217777778</v>
      </c>
    </row>
    <row r="12">
      <c r="A12" s="77"/>
      <c r="B12" s="77"/>
      <c r="C12" s="77"/>
      <c r="D12" s="77"/>
      <c r="E12" s="75">
        <f>SUM(E5:E11)</f>
        <v>4.259777778</v>
      </c>
    </row>
    <row r="13">
      <c r="A13" s="4" t="s">
        <v>539</v>
      </c>
    </row>
    <row r="14">
      <c r="A14" s="35" t="s">
        <v>531</v>
      </c>
      <c r="B14" s="34" t="s">
        <v>194</v>
      </c>
      <c r="C14" s="34" t="s">
        <v>195</v>
      </c>
      <c r="D14" s="34" t="s">
        <v>8</v>
      </c>
      <c r="E14" s="34" t="s">
        <v>197</v>
      </c>
    </row>
    <row r="15">
      <c r="A15" s="36"/>
      <c r="B15" s="36"/>
      <c r="C15" s="36"/>
      <c r="D15" s="36"/>
      <c r="E15" s="36"/>
    </row>
    <row r="16">
      <c r="A16" s="39" t="s">
        <v>532</v>
      </c>
      <c r="B16" s="39">
        <v>1.0</v>
      </c>
      <c r="C16" s="39">
        <v>1.0</v>
      </c>
      <c r="D16" s="39">
        <v>2.2</v>
      </c>
      <c r="E16" s="38">
        <f t="shared" ref="E16:E23" si="2">B16*D16/C16</f>
        <v>2.2</v>
      </c>
    </row>
    <row r="17">
      <c r="A17" s="39" t="s">
        <v>533</v>
      </c>
      <c r="B17" s="39">
        <v>1.0</v>
      </c>
      <c r="C17" s="39">
        <v>1.0</v>
      </c>
      <c r="D17" s="39">
        <v>0.9</v>
      </c>
      <c r="E17" s="38">
        <f t="shared" si="2"/>
        <v>0.9</v>
      </c>
    </row>
    <row r="18">
      <c r="A18" s="39" t="s">
        <v>328</v>
      </c>
      <c r="B18" s="39">
        <v>1.0</v>
      </c>
      <c r="C18" s="39">
        <v>2.0</v>
      </c>
      <c r="D18" s="39">
        <v>0.18</v>
      </c>
      <c r="E18" s="38">
        <f t="shared" si="2"/>
        <v>0.09</v>
      </c>
    </row>
    <row r="19">
      <c r="A19" s="39" t="s">
        <v>322</v>
      </c>
      <c r="B19" s="39">
        <v>1.0</v>
      </c>
      <c r="C19" s="39">
        <v>1.0</v>
      </c>
      <c r="D19" s="39">
        <v>1.75</v>
      </c>
      <c r="E19" s="38">
        <f t="shared" si="2"/>
        <v>1.75</v>
      </c>
    </row>
    <row r="20">
      <c r="A20" s="39" t="s">
        <v>323</v>
      </c>
      <c r="B20" s="39">
        <v>1.0</v>
      </c>
      <c r="C20" s="39">
        <v>12.0</v>
      </c>
      <c r="D20" s="39">
        <v>1.2</v>
      </c>
      <c r="E20" s="38">
        <f t="shared" si="2"/>
        <v>0.1</v>
      </c>
    </row>
    <row r="21">
      <c r="A21" s="39" t="s">
        <v>534</v>
      </c>
      <c r="B21" s="39">
        <v>2.0</v>
      </c>
      <c r="C21" s="39">
        <v>40.0</v>
      </c>
      <c r="D21" s="39">
        <v>6.7</v>
      </c>
      <c r="E21" s="38">
        <f t="shared" si="2"/>
        <v>0.335</v>
      </c>
    </row>
    <row r="22">
      <c r="A22" s="39" t="s">
        <v>535</v>
      </c>
      <c r="B22" s="39">
        <v>10.0</v>
      </c>
      <c r="C22" s="39">
        <v>1000.0</v>
      </c>
      <c r="D22" s="39">
        <v>1.97</v>
      </c>
      <c r="E22" s="38">
        <f t="shared" si="2"/>
        <v>0.0197</v>
      </c>
    </row>
    <row r="23">
      <c r="A23" s="78" t="s">
        <v>204</v>
      </c>
      <c r="B23" s="78">
        <v>30.0</v>
      </c>
      <c r="C23" s="78">
        <v>60.0</v>
      </c>
      <c r="D23" s="78">
        <v>1.0</v>
      </c>
      <c r="E23" s="38">
        <f t="shared" si="2"/>
        <v>0.5</v>
      </c>
    </row>
    <row r="24">
      <c r="A24" s="77"/>
      <c r="B24" s="60"/>
      <c r="C24" s="77"/>
      <c r="D24" s="77"/>
      <c r="E24" s="38"/>
    </row>
    <row r="25">
      <c r="A25" s="77"/>
      <c r="B25" s="60"/>
      <c r="C25" s="77"/>
      <c r="D25" s="77"/>
      <c r="E25" s="61">
        <f>SUM(E16:E23)</f>
        <v>5.8947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540</v>
      </c>
    </row>
    <row r="3">
      <c r="A3" s="34" t="s">
        <v>193</v>
      </c>
      <c r="B3" s="34" t="s">
        <v>194</v>
      </c>
      <c r="C3" s="34" t="s">
        <v>195</v>
      </c>
      <c r="D3" s="34" t="s">
        <v>8</v>
      </c>
      <c r="E3" s="34" t="s">
        <v>197</v>
      </c>
    </row>
    <row r="4">
      <c r="A4" s="36"/>
      <c r="B4" s="36"/>
      <c r="C4" s="36"/>
      <c r="D4" s="36"/>
      <c r="E4" s="36"/>
    </row>
    <row r="5">
      <c r="A5" s="38" t="s">
        <v>199</v>
      </c>
      <c r="B5" s="39">
        <v>100.0</v>
      </c>
      <c r="C5" s="38">
        <v>1000.0</v>
      </c>
      <c r="D5" s="38">
        <v>2.56</v>
      </c>
      <c r="E5" s="38">
        <f t="shared" ref="E5:E11" si="1">B5*D5/C5</f>
        <v>0.256</v>
      </c>
    </row>
    <row r="6">
      <c r="A6" s="38" t="s">
        <v>201</v>
      </c>
      <c r="B6" s="39">
        <v>100.0</v>
      </c>
      <c r="C6" s="38">
        <v>1000.0</v>
      </c>
      <c r="D6" s="38">
        <v>5.0</v>
      </c>
      <c r="E6" s="38">
        <f t="shared" si="1"/>
        <v>0.5</v>
      </c>
    </row>
    <row r="7">
      <c r="A7" s="38" t="s">
        <v>203</v>
      </c>
      <c r="B7" s="39">
        <v>1.0</v>
      </c>
      <c r="C7" s="38">
        <v>12.0</v>
      </c>
      <c r="D7" s="38">
        <v>2.5</v>
      </c>
      <c r="E7" s="38">
        <f t="shared" si="1"/>
        <v>0.2083333333</v>
      </c>
      <c r="G7" s="5">
        <f>SUM(E12+E20+E33)</f>
        <v>12.82531111</v>
      </c>
    </row>
    <row r="8">
      <c r="A8" s="38" t="s">
        <v>205</v>
      </c>
      <c r="B8" s="39">
        <v>250.0</v>
      </c>
      <c r="C8" s="38">
        <v>1000.0</v>
      </c>
      <c r="D8" s="38">
        <v>1.46</v>
      </c>
      <c r="E8" s="38">
        <f t="shared" si="1"/>
        <v>0.365</v>
      </c>
    </row>
    <row r="9">
      <c r="A9" s="38" t="s">
        <v>207</v>
      </c>
      <c r="B9" s="39">
        <v>5.0</v>
      </c>
      <c r="C9" s="38">
        <v>200.0</v>
      </c>
      <c r="D9" s="38">
        <v>6.9</v>
      </c>
      <c r="E9" s="38">
        <f t="shared" si="1"/>
        <v>0.1725</v>
      </c>
    </row>
    <row r="10">
      <c r="A10" s="38" t="s">
        <v>209</v>
      </c>
      <c r="B10" s="38">
        <v>10.0</v>
      </c>
      <c r="C10" s="38">
        <v>1000.0</v>
      </c>
      <c r="D10" s="38">
        <v>1.0</v>
      </c>
      <c r="E10" s="38">
        <f t="shared" si="1"/>
        <v>0.01</v>
      </c>
    </row>
    <row r="11">
      <c r="A11" s="39" t="s">
        <v>274</v>
      </c>
      <c r="B11" s="39">
        <v>20.0</v>
      </c>
      <c r="C11" s="39">
        <v>450.0</v>
      </c>
      <c r="D11" s="39">
        <v>4.99</v>
      </c>
      <c r="E11" s="38">
        <f t="shared" si="1"/>
        <v>0.2217777778</v>
      </c>
    </row>
    <row r="12">
      <c r="A12" s="77"/>
      <c r="B12" s="77"/>
      <c r="C12" s="77"/>
      <c r="D12" s="77"/>
      <c r="E12" s="75">
        <f>SUM(E5:E11)</f>
        <v>1.733611111</v>
      </c>
    </row>
    <row r="13">
      <c r="A13" s="27"/>
      <c r="B13" s="30" t="s">
        <v>234</v>
      </c>
      <c r="C13" s="27"/>
      <c r="D13" s="27"/>
      <c r="E13" s="27"/>
    </row>
    <row r="14">
      <c r="A14" s="34" t="s">
        <v>193</v>
      </c>
      <c r="B14" s="34" t="s">
        <v>194</v>
      </c>
      <c r="C14" s="34" t="s">
        <v>195</v>
      </c>
      <c r="D14" s="34" t="s">
        <v>8</v>
      </c>
      <c r="E14" s="34" t="s">
        <v>197</v>
      </c>
    </row>
    <row r="15">
      <c r="A15" s="36"/>
      <c r="B15" s="36"/>
      <c r="C15" s="36"/>
      <c r="D15" s="36"/>
      <c r="E15" s="36"/>
    </row>
    <row r="16">
      <c r="A16" s="39" t="s">
        <v>235</v>
      </c>
      <c r="B16" s="39">
        <v>300.0</v>
      </c>
      <c r="C16" s="38">
        <v>1000.0</v>
      </c>
      <c r="D16" s="39">
        <v>4.99</v>
      </c>
      <c r="E16" s="38">
        <f t="shared" ref="E16:E19" si="2">B16*D16/C16</f>
        <v>1.497</v>
      </c>
    </row>
    <row r="17">
      <c r="A17" s="39" t="s">
        <v>211</v>
      </c>
      <c r="B17" s="39">
        <v>200.0</v>
      </c>
      <c r="C17" s="39">
        <v>100.0</v>
      </c>
      <c r="D17" s="39">
        <v>1.15</v>
      </c>
      <c r="E17" s="38">
        <f t="shared" si="2"/>
        <v>2.3</v>
      </c>
    </row>
    <row r="18">
      <c r="A18" s="39" t="s">
        <v>236</v>
      </c>
      <c r="B18" s="39">
        <v>200.0</v>
      </c>
      <c r="C18" s="39">
        <v>100.0</v>
      </c>
      <c r="D18" s="39">
        <v>1.15</v>
      </c>
      <c r="E18" s="38">
        <f t="shared" si="2"/>
        <v>2.3</v>
      </c>
    </row>
    <row r="19">
      <c r="A19" s="39" t="s">
        <v>237</v>
      </c>
      <c r="B19" s="39"/>
      <c r="C19" s="39">
        <v>240.0</v>
      </c>
      <c r="D19" s="39">
        <v>2.0</v>
      </c>
      <c r="E19" s="38">
        <f t="shared" si="2"/>
        <v>0</v>
      </c>
    </row>
    <row r="20">
      <c r="A20" s="45"/>
      <c r="B20" s="45"/>
      <c r="C20" s="45"/>
      <c r="D20" s="45"/>
      <c r="E20" s="76">
        <f>SUM(E16:E19)</f>
        <v>6.097</v>
      </c>
    </row>
    <row r="21">
      <c r="A21" s="4" t="s">
        <v>539</v>
      </c>
    </row>
    <row r="22">
      <c r="A22" s="35" t="s">
        <v>531</v>
      </c>
      <c r="B22" s="34" t="s">
        <v>194</v>
      </c>
      <c r="C22" s="34" t="s">
        <v>195</v>
      </c>
      <c r="D22" s="34" t="s">
        <v>8</v>
      </c>
      <c r="E22" s="34" t="s">
        <v>197</v>
      </c>
    </row>
    <row r="23">
      <c r="A23" s="36"/>
      <c r="B23" s="36"/>
      <c r="C23" s="36"/>
      <c r="D23" s="36"/>
      <c r="E23" s="36"/>
    </row>
    <row r="24">
      <c r="A24" s="39" t="s">
        <v>532</v>
      </c>
      <c r="B24" s="39">
        <v>1.0</v>
      </c>
      <c r="C24" s="39">
        <v>1.0</v>
      </c>
      <c r="D24" s="39">
        <v>2.2</v>
      </c>
      <c r="E24" s="38">
        <f t="shared" ref="E24:E31" si="3">B24*D24/C24</f>
        <v>2.2</v>
      </c>
    </row>
    <row r="25">
      <c r="A25" s="39" t="s">
        <v>533</v>
      </c>
      <c r="B25" s="39">
        <v>0.0</v>
      </c>
      <c r="C25" s="39">
        <v>1.0</v>
      </c>
      <c r="D25" s="39">
        <v>0.9</v>
      </c>
      <c r="E25" s="38">
        <f t="shared" si="3"/>
        <v>0</v>
      </c>
    </row>
    <row r="26">
      <c r="A26" s="39" t="s">
        <v>328</v>
      </c>
      <c r="B26" s="39">
        <v>1.0</v>
      </c>
      <c r="C26" s="39">
        <v>2.0</v>
      </c>
      <c r="D26" s="39">
        <v>0.18</v>
      </c>
      <c r="E26" s="38">
        <f t="shared" si="3"/>
        <v>0.09</v>
      </c>
    </row>
    <row r="27">
      <c r="A27" s="39" t="s">
        <v>322</v>
      </c>
      <c r="B27" s="39">
        <v>1.0</v>
      </c>
      <c r="C27" s="39">
        <v>1.0</v>
      </c>
      <c r="D27" s="39">
        <v>1.75</v>
      </c>
      <c r="E27" s="38">
        <f t="shared" si="3"/>
        <v>1.75</v>
      </c>
    </row>
    <row r="28">
      <c r="A28" s="39" t="s">
        <v>323</v>
      </c>
      <c r="B28" s="39">
        <v>1.0</v>
      </c>
      <c r="C28" s="39">
        <v>12.0</v>
      </c>
      <c r="D28" s="39">
        <v>1.2</v>
      </c>
      <c r="E28" s="38">
        <f t="shared" si="3"/>
        <v>0.1</v>
      </c>
    </row>
    <row r="29">
      <c r="A29" s="39" t="s">
        <v>534</v>
      </c>
      <c r="B29" s="39">
        <v>2.0</v>
      </c>
      <c r="C29" s="39">
        <v>40.0</v>
      </c>
      <c r="D29" s="39">
        <v>6.7</v>
      </c>
      <c r="E29" s="38">
        <f t="shared" si="3"/>
        <v>0.335</v>
      </c>
    </row>
    <row r="30">
      <c r="A30" s="39" t="s">
        <v>535</v>
      </c>
      <c r="B30" s="39">
        <v>10.0</v>
      </c>
      <c r="C30" s="39">
        <v>1000.0</v>
      </c>
      <c r="D30" s="39">
        <v>1.97</v>
      </c>
      <c r="E30" s="38">
        <f t="shared" si="3"/>
        <v>0.0197</v>
      </c>
    </row>
    <row r="31">
      <c r="A31" s="78" t="s">
        <v>204</v>
      </c>
      <c r="B31" s="78">
        <v>30.0</v>
      </c>
      <c r="C31" s="78">
        <v>60.0</v>
      </c>
      <c r="D31" s="78">
        <v>1.0</v>
      </c>
      <c r="E31" s="38">
        <f t="shared" si="3"/>
        <v>0.5</v>
      </c>
    </row>
    <row r="32">
      <c r="A32" s="77"/>
      <c r="B32" s="60"/>
      <c r="C32" s="77"/>
      <c r="D32" s="77"/>
      <c r="E32" s="38"/>
    </row>
    <row r="33">
      <c r="A33" s="77"/>
      <c r="B33" s="60"/>
      <c r="C33" s="77"/>
      <c r="D33" s="77"/>
      <c r="E33" s="61">
        <f>SUM(E24:E31)</f>
        <v>4.9947</v>
      </c>
    </row>
  </sheetData>
  <drawing r:id="rId1"/>
</worksheet>
</file>